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night\Desktop\Учеба!\4 семестр\ИСИТ 4 семестр\Лабораторные\Лаба 2\"/>
    </mc:Choice>
  </mc:AlternateContent>
  <bookViews>
    <workbookView xWindow="240" yWindow="108" windowWidth="9552" windowHeight="4692" firstSheet="2" activeTab="2"/>
  </bookViews>
  <sheets>
    <sheet name="Диаграмма1" sheetId="4" state="hidden" r:id="rId1"/>
    <sheet name="Диаграмма2" sheetId="5" state="hidden" r:id="rId2"/>
    <sheet name="Первая задача" sheetId="1" r:id="rId3"/>
    <sheet name="H=1200" sheetId="2" r:id="rId4"/>
    <sheet name="D=2400" sheetId="3" r:id="rId5"/>
  </sheets>
  <calcPr calcId="152511"/>
</workbook>
</file>

<file path=xl/calcChain.xml><?xml version="1.0" encoding="utf-8"?>
<calcChain xmlns="http://schemas.openxmlformats.org/spreadsheetml/2006/main">
  <c r="H19" i="3" l="1"/>
  <c r="H20" i="3" s="1"/>
  <c r="H21" i="3" s="1"/>
  <c r="A19" i="3"/>
  <c r="A20" i="3" s="1"/>
  <c r="A21" i="3" s="1"/>
  <c r="A22" i="3" s="1"/>
  <c r="I15" i="3"/>
  <c r="J15" i="3" s="1"/>
  <c r="E21" i="3" s="1"/>
  <c r="H15" i="3"/>
  <c r="G15" i="3"/>
  <c r="F20" i="3" s="1"/>
  <c r="F26" i="3" s="1"/>
  <c r="F32" i="3" s="1"/>
  <c r="H19" i="2"/>
  <c r="H20" i="2" s="1"/>
  <c r="F21" i="3" l="1"/>
  <c r="F27" i="3" s="1"/>
  <c r="F33" i="3" s="1"/>
  <c r="B20" i="3"/>
  <c r="C20" i="3" s="1"/>
  <c r="F22" i="3"/>
  <c r="F28" i="3" s="1"/>
  <c r="F34" i="3" s="1"/>
  <c r="B21" i="3"/>
  <c r="C21" i="3" s="1"/>
  <c r="B19" i="3"/>
  <c r="C19" i="3" s="1"/>
  <c r="F23" i="3"/>
  <c r="F29" i="3" s="1"/>
  <c r="F35" i="3" s="1"/>
  <c r="E23" i="3"/>
  <c r="H22" i="3"/>
  <c r="E22" i="3"/>
  <c r="B23" i="3"/>
  <c r="C23" i="3" s="1"/>
  <c r="A23" i="3"/>
  <c r="B22" i="3"/>
  <c r="C22" i="3" s="1"/>
  <c r="H21" i="2"/>
  <c r="I15" i="2"/>
  <c r="J15" i="2" s="1"/>
  <c r="E21" i="2" s="1"/>
  <c r="H15" i="2"/>
  <c r="G15" i="2"/>
  <c r="F22" i="2" s="1"/>
  <c r="F28" i="2" s="1"/>
  <c r="F34" i="2" s="1"/>
  <c r="A19" i="2"/>
  <c r="A20" i="2" s="1"/>
  <c r="A19" i="1"/>
  <c r="A20" i="1" s="1"/>
  <c r="A21" i="1" s="1"/>
  <c r="A22" i="1" s="1"/>
  <c r="A23" i="1" s="1"/>
  <c r="A24" i="1" s="1"/>
  <c r="A25" i="1" s="1"/>
  <c r="A26" i="1" s="1"/>
  <c r="A27" i="1" s="1"/>
  <c r="E22" i="2" l="1"/>
  <c r="F24" i="3"/>
  <c r="F30" i="3" s="1"/>
  <c r="F36" i="3" s="1"/>
  <c r="E24" i="3"/>
  <c r="H23" i="3"/>
  <c r="A24" i="3"/>
  <c r="B24" i="3"/>
  <c r="C24" i="3" s="1"/>
  <c r="B19" i="2"/>
  <c r="C19" i="2" s="1"/>
  <c r="F20" i="2"/>
  <c r="F26" i="2" s="1"/>
  <c r="F32" i="2" s="1"/>
  <c r="F21" i="2"/>
  <c r="F27" i="2" s="1"/>
  <c r="F33" i="2" s="1"/>
  <c r="H22" i="2"/>
  <c r="F23" i="2"/>
  <c r="F29" i="2" s="1"/>
  <c r="F35" i="2" s="1"/>
  <c r="E23" i="2"/>
  <c r="B21" i="2"/>
  <c r="C21" i="2" s="1"/>
  <c r="A21" i="2"/>
  <c r="B20" i="2"/>
  <c r="C20" i="2" s="1"/>
  <c r="H24" i="3" l="1"/>
  <c r="F25" i="3"/>
  <c r="F31" i="3" s="1"/>
  <c r="F37" i="3" s="1"/>
  <c r="E25" i="3"/>
  <c r="B25" i="3"/>
  <c r="C25" i="3" s="1"/>
  <c r="A25" i="3"/>
  <c r="F24" i="2"/>
  <c r="F30" i="2" s="1"/>
  <c r="F36" i="2" s="1"/>
  <c r="E24" i="2"/>
  <c r="H23" i="2"/>
  <c r="A22" i="2"/>
  <c r="B22" i="2"/>
  <c r="C22" i="2" l="1"/>
  <c r="H25" i="3"/>
  <c r="E26" i="3"/>
  <c r="A26" i="3"/>
  <c r="B26" i="3"/>
  <c r="C26" i="3" s="1"/>
  <c r="E25" i="2"/>
  <c r="H24" i="2"/>
  <c r="F25" i="2"/>
  <c r="F31" i="2" s="1"/>
  <c r="F37" i="2" s="1"/>
  <c r="B23" i="2"/>
  <c r="A23" i="2"/>
  <c r="C23" i="2" l="1"/>
  <c r="E27" i="3"/>
  <c r="H26" i="3"/>
  <c r="B27" i="3"/>
  <c r="C27" i="3" s="1"/>
  <c r="A27" i="3"/>
  <c r="H25" i="2"/>
  <c r="E26" i="2"/>
  <c r="A24" i="2"/>
  <c r="B24" i="2"/>
  <c r="H20" i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19" i="1"/>
  <c r="C24" i="2" l="1"/>
  <c r="E28" i="3"/>
  <c r="H27" i="3"/>
  <c r="B28" i="3"/>
  <c r="A28" i="3"/>
  <c r="H26" i="2"/>
  <c r="E27" i="2"/>
  <c r="B25" i="2"/>
  <c r="A25" i="2"/>
  <c r="I15" i="1"/>
  <c r="J15" i="1" s="1"/>
  <c r="H15" i="1"/>
  <c r="G15" i="1"/>
  <c r="B19" i="1" s="1"/>
  <c r="E23" i="1" l="1"/>
  <c r="E27" i="1"/>
  <c r="E31" i="1"/>
  <c r="E35" i="1"/>
  <c r="E21" i="1"/>
  <c r="E24" i="1"/>
  <c r="E28" i="1"/>
  <c r="E32" i="1"/>
  <c r="E36" i="1"/>
  <c r="E25" i="1"/>
  <c r="E29" i="1"/>
  <c r="E33" i="1"/>
  <c r="E37" i="1"/>
  <c r="E22" i="1"/>
  <c r="E26" i="1"/>
  <c r="E30" i="1"/>
  <c r="E34" i="1"/>
  <c r="E38" i="1"/>
  <c r="C25" i="2"/>
  <c r="C19" i="1"/>
  <c r="F24" i="1"/>
  <c r="F25" i="1"/>
  <c r="F22" i="1"/>
  <c r="F21" i="1"/>
  <c r="F20" i="1"/>
  <c r="F23" i="1"/>
  <c r="B20" i="1"/>
  <c r="C28" i="3"/>
  <c r="J28" i="3"/>
  <c r="H28" i="3"/>
  <c r="E29" i="3"/>
  <c r="E28" i="2"/>
  <c r="H27" i="2"/>
  <c r="B26" i="2"/>
  <c r="A26" i="2"/>
  <c r="B21" i="1"/>
  <c r="F34" i="1" l="1"/>
  <c r="F28" i="1"/>
  <c r="F35" i="1"/>
  <c r="F29" i="1"/>
  <c r="F33" i="1"/>
  <c r="F27" i="1"/>
  <c r="F37" i="1"/>
  <c r="F31" i="1"/>
  <c r="F32" i="1"/>
  <c r="F26" i="1"/>
  <c r="F30" i="1"/>
  <c r="F36" i="1"/>
  <c r="J27" i="3"/>
  <c r="K28" i="3"/>
  <c r="L28" i="3" s="1"/>
  <c r="C20" i="1"/>
  <c r="C26" i="2"/>
  <c r="C21" i="1"/>
  <c r="H29" i="3"/>
  <c r="E30" i="3"/>
  <c r="H28" i="2"/>
  <c r="E29" i="2"/>
  <c r="B27" i="2"/>
  <c r="A27" i="2"/>
  <c r="B22" i="1"/>
  <c r="C27" i="2" l="1"/>
  <c r="C22" i="1"/>
  <c r="J26" i="3"/>
  <c r="K27" i="3"/>
  <c r="L27" i="3" s="1"/>
  <c r="E31" i="3"/>
  <c r="H30" i="3"/>
  <c r="H29" i="2"/>
  <c r="E30" i="2"/>
  <c r="A28" i="2"/>
  <c r="B28" i="2"/>
  <c r="B23" i="1"/>
  <c r="C28" i="2" l="1"/>
  <c r="J28" i="2"/>
  <c r="C23" i="1"/>
  <c r="J25" i="3"/>
  <c r="K26" i="3"/>
  <c r="L26" i="3" s="1"/>
  <c r="E32" i="3"/>
  <c r="H31" i="3"/>
  <c r="H30" i="2"/>
  <c r="E31" i="2"/>
  <c r="B24" i="1"/>
  <c r="K28" i="2" l="1"/>
  <c r="L28" i="2" s="1"/>
  <c r="J27" i="2"/>
  <c r="C24" i="1"/>
  <c r="J24" i="3"/>
  <c r="K25" i="3"/>
  <c r="L25" i="3" s="1"/>
  <c r="H32" i="3"/>
  <c r="E33" i="3"/>
  <c r="E32" i="2"/>
  <c r="H31" i="2"/>
  <c r="B25" i="1"/>
  <c r="K27" i="2" l="1"/>
  <c r="L27" i="2" s="1"/>
  <c r="J26" i="2"/>
  <c r="C25" i="1"/>
  <c r="J23" i="3"/>
  <c r="K24" i="3"/>
  <c r="L24" i="3" s="1"/>
  <c r="H33" i="3"/>
  <c r="E34" i="3"/>
  <c r="E33" i="2"/>
  <c r="H32" i="2"/>
  <c r="B26" i="1"/>
  <c r="K26" i="2" l="1"/>
  <c r="L26" i="2" s="1"/>
  <c r="J25" i="2"/>
  <c r="C26" i="1"/>
  <c r="J22" i="3"/>
  <c r="K23" i="3"/>
  <c r="L23" i="3" s="1"/>
  <c r="E35" i="3"/>
  <c r="H34" i="3"/>
  <c r="H33" i="2"/>
  <c r="E34" i="2"/>
  <c r="B27" i="1"/>
  <c r="K25" i="2" l="1"/>
  <c r="L25" i="2" s="1"/>
  <c r="J24" i="2"/>
  <c r="C27" i="1"/>
  <c r="J21" i="3"/>
  <c r="K22" i="3"/>
  <c r="L22" i="3" s="1"/>
  <c r="E36" i="3"/>
  <c r="H35" i="3"/>
  <c r="H34" i="2"/>
  <c r="E35" i="2"/>
  <c r="A28" i="1"/>
  <c r="B28" i="1"/>
  <c r="C28" i="1" l="1"/>
  <c r="J28" i="1"/>
  <c r="K24" i="2"/>
  <c r="L24" i="2" s="1"/>
  <c r="J23" i="2"/>
  <c r="J20" i="3"/>
  <c r="K21" i="3"/>
  <c r="L21" i="3" s="1"/>
  <c r="H36" i="3"/>
  <c r="E37" i="3"/>
  <c r="E36" i="2"/>
  <c r="H35" i="2"/>
  <c r="K23" i="2" l="1"/>
  <c r="L23" i="2" s="1"/>
  <c r="J22" i="2"/>
  <c r="K28" i="1"/>
  <c r="L28" i="1" s="1"/>
  <c r="J27" i="1"/>
  <c r="J19" i="3"/>
  <c r="K19" i="3" s="1"/>
  <c r="L19" i="3" s="1"/>
  <c r="K20" i="3"/>
  <c r="L20" i="3" s="1"/>
  <c r="H37" i="3"/>
  <c r="H38" i="3" s="1"/>
  <c r="H36" i="2"/>
  <c r="E37" i="2"/>
  <c r="K27" i="1" l="1"/>
  <c r="L27" i="1" s="1"/>
  <c r="J26" i="1"/>
  <c r="K22" i="2"/>
  <c r="L22" i="2" s="1"/>
  <c r="J21" i="2"/>
  <c r="H37" i="2"/>
  <c r="H38" i="2" s="1"/>
  <c r="E38" i="2"/>
  <c r="K26" i="1" l="1"/>
  <c r="L26" i="1" s="1"/>
  <c r="J25" i="1"/>
  <c r="J20" i="2"/>
  <c r="K21" i="2"/>
  <c r="L21" i="2" s="1"/>
  <c r="K20" i="2" l="1"/>
  <c r="L20" i="2" s="1"/>
  <c r="J19" i="2"/>
  <c r="K19" i="2" s="1"/>
  <c r="L19" i="2" s="1"/>
  <c r="K25" i="1"/>
  <c r="L25" i="1" s="1"/>
  <c r="J24" i="1"/>
  <c r="K24" i="1" l="1"/>
  <c r="L24" i="1" s="1"/>
  <c r="J23" i="1"/>
  <c r="K23" i="1" l="1"/>
  <c r="L23" i="1" s="1"/>
  <c r="J22" i="1"/>
  <c r="K22" i="1" l="1"/>
  <c r="L22" i="1" s="1"/>
  <c r="J21" i="1"/>
  <c r="K21" i="1" l="1"/>
  <c r="L21" i="1" s="1"/>
  <c r="J20" i="1"/>
  <c r="K20" i="1" l="1"/>
  <c r="L20" i="1" s="1"/>
  <c r="J19" i="1"/>
  <c r="K19" i="1" s="1"/>
  <c r="L19" i="1" s="1"/>
</calcChain>
</file>

<file path=xl/sharedStrings.xml><?xml version="1.0" encoding="utf-8"?>
<sst xmlns="http://schemas.openxmlformats.org/spreadsheetml/2006/main" count="70" uniqueCount="21">
  <si>
    <t>Моделирование основной задачи управления запасами (модель Харриса)</t>
  </si>
  <si>
    <t>D[ед/год]</t>
  </si>
  <si>
    <t xml:space="preserve">Исходные данные </t>
  </si>
  <si>
    <t>Результаты расчётов</t>
  </si>
  <si>
    <t>q (опт)</t>
  </si>
  <si>
    <t xml:space="preserve">  C (min)</t>
  </si>
  <si>
    <t>Шаг q</t>
  </si>
  <si>
    <t>Q</t>
  </si>
  <si>
    <t>C</t>
  </si>
  <si>
    <t xml:space="preserve">      S[р./парт]</t>
  </si>
  <si>
    <t xml:space="preserve"> Функции затрат</t>
  </si>
  <si>
    <t>t</t>
  </si>
  <si>
    <t>Шаг</t>
  </si>
  <si>
    <t>Функции изменения запаса</t>
  </si>
  <si>
    <t xml:space="preserve">      </t>
  </si>
  <si>
    <t>Чувствительность функции затрат</t>
  </si>
  <si>
    <t>q+0,5*q</t>
  </si>
  <si>
    <t>v</t>
  </si>
  <si>
    <r>
      <t xml:space="preserve"> </t>
    </r>
    <r>
      <rPr>
        <b/>
        <sz val="12"/>
        <color theme="8" tint="-0.249977111117893"/>
        <rFont val="Calibri"/>
        <family val="2"/>
        <charset val="204"/>
        <scheme val="minor"/>
      </rPr>
      <t>H [р./ед]</t>
    </r>
  </si>
  <si>
    <r>
      <t xml:space="preserve">        </t>
    </r>
    <r>
      <rPr>
        <b/>
        <sz val="12"/>
        <color theme="8" tint="-0.249977111117893"/>
        <rFont val="Calibri"/>
        <family val="2"/>
        <charset val="204"/>
        <scheme val="minor"/>
      </rPr>
      <t>N</t>
    </r>
  </si>
  <si>
    <r>
      <t xml:space="preserve">            </t>
    </r>
    <r>
      <rPr>
        <b/>
        <sz val="12"/>
        <color theme="8" tint="-0.249977111117893"/>
        <rFont val="Calibri"/>
        <family val="2"/>
        <charset val="204"/>
        <scheme val="minor"/>
      </rPr>
      <t>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</si>
</sst>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sz val="11"/>
      <color theme="8" tint="-0.249977111117893"/>
      <name val="Calibri"/>
      <family val="2"/>
      <charset val="204"/>
      <scheme val="minor"/>
    </font>
    <font>
      <b/>
      <sz val="18"/>
      <color theme="8" tint="-0.249977111117893"/>
      <name val="Calibri"/>
      <family val="2"/>
      <charset val="204"/>
      <scheme val="minor"/>
    </font>
    <font>
      <b/>
      <sz val="14"/>
      <color theme="8" tint="-0.249977111117893"/>
      <name val="Calibri"/>
      <family val="2"/>
      <charset val="204"/>
      <scheme val="minor"/>
    </font>
    <font>
      <b/>
      <sz val="12"/>
      <color theme="8" tint="-0.249977111117893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0" fillId="3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4" fillId="2" borderId="0" xfId="0" applyFont="1" applyFill="1" applyBorder="1"/>
    <xf numFmtId="0" fontId="4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1" fillId="3" borderId="0" xfId="0" applyFont="1" applyFill="1"/>
    <xf numFmtId="0" fontId="4" fillId="2" borderId="0" xfId="0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Функция затрат 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'Первая задача'!$B$19:$B$28</c:f>
              <c:numCache>
                <c:formatCode>General</c:formatCode>
                <c:ptCount val="10"/>
                <c:pt idx="0">
                  <c:v>7.745966692414834</c:v>
                </c:pt>
                <c:pt idx="1">
                  <c:v>23.237900077244504</c:v>
                </c:pt>
                <c:pt idx="2">
                  <c:v>38.729833462074168</c:v>
                </c:pt>
                <c:pt idx="3">
                  <c:v>54.221766846903833</c:v>
                </c:pt>
                <c:pt idx="4">
                  <c:v>69.713700231733498</c:v>
                </c:pt>
                <c:pt idx="5">
                  <c:v>85.205633616563162</c:v>
                </c:pt>
                <c:pt idx="6">
                  <c:v>100.69756700139283</c:v>
                </c:pt>
                <c:pt idx="7">
                  <c:v>116.18950038622249</c:v>
                </c:pt>
                <c:pt idx="8">
                  <c:v>131.68143377105216</c:v>
                </c:pt>
                <c:pt idx="9">
                  <c:v>147.17336715588181</c:v>
                </c:pt>
              </c:numCache>
            </c:numRef>
          </c:xVal>
          <c:yVal>
            <c:numRef>
              <c:f>'Первая задача'!$C$19:$C$28</c:f>
              <c:numCache>
                <c:formatCode>General</c:formatCode>
                <c:ptCount val="10"/>
                <c:pt idx="0">
                  <c:v>117351.39539008473</c:v>
                </c:pt>
                <c:pt idx="1">
                  <c:v>42215.518473660843</c:v>
                </c:pt>
                <c:pt idx="2">
                  <c:v>29047.375096555628</c:v>
                </c:pt>
                <c:pt idx="3">
                  <c:v>24731.765082210222</c:v>
                </c:pt>
                <c:pt idx="4">
                  <c:v>23366.99952211808</c:v>
                </c:pt>
                <c:pt idx="5">
                  <c:v>23343.526895777431</c:v>
                </c:pt>
                <c:pt idx="6">
                  <c:v>24042.288926072193</c:v>
                </c:pt>
                <c:pt idx="7">
                  <c:v>25174.391750348208</c:v>
                </c:pt>
                <c:pt idx="8">
                  <c:v>26586.891558965031</c:v>
                </c:pt>
                <c:pt idx="9">
                  <c:v>28191.241935815036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09720"/>
        <c:axId val="190363104"/>
      </c:scatterChart>
      <c:valAx>
        <c:axId val="4694097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0363104"/>
        <c:crosses val="autoZero"/>
        <c:crossBetween val="midCat"/>
      </c:valAx>
      <c:valAx>
        <c:axId val="190363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940972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Изменение запаса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'Первая задача'!$E$19:$E$38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0.30000000000000004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0.79999999999999993</c:v>
                </c:pt>
                <c:pt idx="10">
                  <c:v>0.89999999999999991</c:v>
                </c:pt>
                <c:pt idx="11">
                  <c:v>0.99999999999999989</c:v>
                </c:pt>
                <c:pt idx="12">
                  <c:v>1.0999999999999999</c:v>
                </c:pt>
                <c:pt idx="13">
                  <c:v>1.2</c:v>
                </c:pt>
                <c:pt idx="14">
                  <c:v>1.3</c:v>
                </c:pt>
                <c:pt idx="15">
                  <c:v>1.4000000000000001</c:v>
                </c:pt>
                <c:pt idx="16">
                  <c:v>1.5000000000000002</c:v>
                </c:pt>
                <c:pt idx="17">
                  <c:v>1.6000000000000003</c:v>
                </c:pt>
                <c:pt idx="18">
                  <c:v>1.7000000000000004</c:v>
                </c:pt>
                <c:pt idx="19">
                  <c:v>1.8000000000000005</c:v>
                </c:pt>
              </c:numCache>
            </c:numRef>
          </c:xVal>
          <c:yVal>
            <c:numRef>
              <c:f>'Первая задача'!$F$19:$F$38</c:f>
              <c:numCache>
                <c:formatCode>General</c:formatCode>
                <c:ptCount val="20"/>
                <c:pt idx="0">
                  <c:v>0</c:v>
                </c:pt>
                <c:pt idx="1">
                  <c:v>77.459666924148337</c:v>
                </c:pt>
                <c:pt idx="2">
                  <c:v>61.967733539318672</c:v>
                </c:pt>
                <c:pt idx="3">
                  <c:v>46.475800154489001</c:v>
                </c:pt>
                <c:pt idx="4">
                  <c:v>30.983866769659329</c:v>
                </c:pt>
                <c:pt idx="5">
                  <c:v>15.491933384829665</c:v>
                </c:pt>
                <c:pt idx="6">
                  <c:v>0</c:v>
                </c:pt>
                <c:pt idx="7">
                  <c:v>77.459666924148337</c:v>
                </c:pt>
                <c:pt idx="8">
                  <c:v>61.967733539318672</c:v>
                </c:pt>
                <c:pt idx="9">
                  <c:v>46.475800154489001</c:v>
                </c:pt>
                <c:pt idx="10">
                  <c:v>30.983866769659329</c:v>
                </c:pt>
                <c:pt idx="11">
                  <c:v>15.491933384829665</c:v>
                </c:pt>
                <c:pt idx="12">
                  <c:v>0</c:v>
                </c:pt>
                <c:pt idx="13">
                  <c:v>77.459666924148337</c:v>
                </c:pt>
                <c:pt idx="14">
                  <c:v>61.967733539318672</c:v>
                </c:pt>
                <c:pt idx="15">
                  <c:v>46.475800154489001</c:v>
                </c:pt>
                <c:pt idx="16">
                  <c:v>30.983866769659329</c:v>
                </c:pt>
                <c:pt idx="17">
                  <c:v>15.491933384829665</c:v>
                </c:pt>
                <c:pt idx="1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245304"/>
        <c:axId val="249252360"/>
      </c:scatterChart>
      <c:valAx>
        <c:axId val="2492453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9252360"/>
        <c:crosses val="autoZero"/>
        <c:crossBetween val="midCat"/>
      </c:valAx>
      <c:valAx>
        <c:axId val="249252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9245304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55032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55032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28</xdr:row>
          <xdr:rowOff>175260</xdr:rowOff>
        </xdr:from>
        <xdr:to>
          <xdr:col>2</xdr:col>
          <xdr:colOff>731520</xdr:colOff>
          <xdr:row>31</xdr:row>
          <xdr:rowOff>68580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38</xdr:row>
          <xdr:rowOff>137160</xdr:rowOff>
        </xdr:from>
        <xdr:to>
          <xdr:col>6</xdr:col>
          <xdr:colOff>373380</xdr:colOff>
          <xdr:row>41</xdr:row>
          <xdr:rowOff>175260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29</xdr:row>
          <xdr:rowOff>30480</xdr:rowOff>
        </xdr:from>
        <xdr:to>
          <xdr:col>2</xdr:col>
          <xdr:colOff>754380</xdr:colOff>
          <xdr:row>31</xdr:row>
          <xdr:rowOff>160020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39</xdr:row>
          <xdr:rowOff>0</xdr:rowOff>
        </xdr:from>
        <xdr:to>
          <xdr:col>6</xdr:col>
          <xdr:colOff>441960</xdr:colOff>
          <xdr:row>42</xdr:row>
          <xdr:rowOff>38100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29</xdr:row>
          <xdr:rowOff>152400</xdr:rowOff>
        </xdr:from>
        <xdr:to>
          <xdr:col>3</xdr:col>
          <xdr:colOff>137160</xdr:colOff>
          <xdr:row>32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38</xdr:row>
          <xdr:rowOff>182880</xdr:rowOff>
        </xdr:from>
        <xdr:to>
          <xdr:col>6</xdr:col>
          <xdr:colOff>373380</xdr:colOff>
          <xdr:row>42</xdr:row>
          <xdr:rowOff>30480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T44"/>
  <sheetViews>
    <sheetView tabSelected="1" zoomScale="55" zoomScaleNormal="55" workbookViewId="0">
      <selection activeCell="E19" sqref="E19:F38"/>
    </sheetView>
  </sheetViews>
  <sheetFormatPr defaultColWidth="9.109375" defaultRowHeight="14.4" x14ac:dyDescent="0.3"/>
  <cols>
    <col min="1" max="1" width="9.109375" style="1" customWidth="1"/>
    <col min="2" max="2" width="7.88671875" style="1" customWidth="1"/>
    <col min="3" max="3" width="12.88671875" style="1" customWidth="1"/>
    <col min="4" max="4" width="4.88671875" style="1" customWidth="1"/>
    <col min="5" max="5" width="16.33203125" style="1" customWidth="1"/>
    <col min="6" max="6" width="15.5546875" style="1" customWidth="1"/>
    <col min="7" max="7" width="9" style="1" customWidth="1"/>
    <col min="8" max="8" width="16.44140625" style="1" customWidth="1"/>
    <col min="9" max="9" width="9.88671875" style="1" customWidth="1"/>
    <col min="10" max="10" width="14" style="1" customWidth="1"/>
    <col min="11" max="11" width="14.6640625" style="1" customWidth="1"/>
    <col min="12" max="12" width="6.109375" style="1" customWidth="1"/>
    <col min="13" max="17" width="9.109375" style="1"/>
    <col min="18" max="18" width="1.6640625" style="1" customWidth="1"/>
    <col min="19" max="19" width="9.109375" style="1"/>
    <col min="20" max="20" width="1.88671875" style="1" customWidth="1"/>
    <col min="21" max="16384" width="9.109375" style="1"/>
  </cols>
  <sheetData>
    <row r="1" spans="1:20" ht="23.4" x14ac:dyDescent="0.45">
      <c r="A1" s="4"/>
      <c r="B1" s="4"/>
      <c r="C1" s="4"/>
      <c r="D1" s="5" t="s">
        <v>0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4"/>
      <c r="S1" s="4"/>
      <c r="T1" s="3"/>
    </row>
    <row r="2" spans="1:20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3"/>
    </row>
    <row r="3" spans="1:20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3"/>
    </row>
    <row r="4" spans="1:20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3"/>
    </row>
    <row r="5" spans="1:20" ht="13.5" customHeight="1" x14ac:dyDescent="0.35">
      <c r="A5" s="4"/>
      <c r="B5" s="4"/>
      <c r="C5" s="4"/>
      <c r="D5" s="4"/>
      <c r="E5" s="4"/>
      <c r="F5" s="4"/>
      <c r="G5" s="4"/>
      <c r="H5" s="8" t="s">
        <v>2</v>
      </c>
      <c r="I5" s="8"/>
      <c r="J5" s="8"/>
      <c r="K5" s="4"/>
      <c r="L5" s="4"/>
      <c r="M5" s="4"/>
      <c r="N5" s="4"/>
      <c r="O5" s="4"/>
      <c r="P5" s="4"/>
      <c r="Q5" s="4"/>
      <c r="R5" s="4"/>
      <c r="S5" s="4"/>
      <c r="T5" s="3"/>
    </row>
    <row r="6" spans="1:20" ht="11.2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3"/>
    </row>
    <row r="7" spans="1:20" ht="18" customHeight="1" x14ac:dyDescent="0.35">
      <c r="A7" s="4"/>
      <c r="B7" s="4"/>
      <c r="C7" s="4"/>
      <c r="D7" s="4"/>
      <c r="E7" s="4"/>
      <c r="F7" s="4"/>
      <c r="G7" s="4"/>
      <c r="H7" s="10" t="s">
        <v>9</v>
      </c>
      <c r="I7" s="10" t="s">
        <v>1</v>
      </c>
      <c r="J7" s="11" t="s">
        <v>18</v>
      </c>
      <c r="K7" s="4"/>
      <c r="L7" s="4"/>
      <c r="M7" s="4"/>
      <c r="N7" s="4"/>
      <c r="O7" s="4"/>
      <c r="P7" s="4"/>
      <c r="Q7" s="4"/>
      <c r="R7" s="4"/>
      <c r="S7" s="4"/>
      <c r="T7" s="3"/>
    </row>
    <row r="8" spans="1:20" ht="18" x14ac:dyDescent="0.35">
      <c r="A8" s="4"/>
      <c r="B8" s="4"/>
      <c r="C8" s="4"/>
      <c r="D8" s="4"/>
      <c r="E8" s="4"/>
      <c r="F8" s="4"/>
      <c r="G8" s="4"/>
      <c r="H8" s="12">
        <v>1500</v>
      </c>
      <c r="I8" s="12">
        <v>600</v>
      </c>
      <c r="J8" s="12">
        <v>300</v>
      </c>
      <c r="K8" s="4"/>
      <c r="L8" s="4"/>
      <c r="M8" s="4"/>
      <c r="N8" s="4"/>
      <c r="O8" s="4"/>
      <c r="P8" s="4"/>
      <c r="Q8" s="4"/>
      <c r="R8" s="4"/>
      <c r="S8" s="4"/>
      <c r="T8" s="3"/>
    </row>
    <row r="9" spans="1:20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3"/>
    </row>
    <row r="10" spans="1:20" ht="11.25" customHeight="1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3"/>
    </row>
    <row r="11" spans="1:20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3"/>
    </row>
    <row r="12" spans="1:20" ht="15.6" x14ac:dyDescent="0.3">
      <c r="A12" s="4"/>
      <c r="B12" s="4"/>
      <c r="C12" s="4"/>
      <c r="D12" s="4"/>
      <c r="E12" s="4"/>
      <c r="F12" s="4"/>
      <c r="G12" s="4"/>
      <c r="H12" s="14" t="s">
        <v>3</v>
      </c>
      <c r="I12" s="6"/>
      <c r="J12" s="6"/>
      <c r="K12" s="4"/>
      <c r="L12" s="4"/>
      <c r="M12" s="4"/>
      <c r="N12" s="4"/>
      <c r="O12" s="4"/>
      <c r="P12" s="4"/>
      <c r="Q12" s="4"/>
      <c r="R12" s="4"/>
      <c r="S12" s="4"/>
      <c r="T12" s="3"/>
    </row>
    <row r="13" spans="1:20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3"/>
    </row>
    <row r="14" spans="1:20" ht="18" x14ac:dyDescent="0.35">
      <c r="A14" s="4"/>
      <c r="B14" s="4"/>
      <c r="C14" s="4"/>
      <c r="D14" s="4"/>
      <c r="E14" s="4"/>
      <c r="F14" s="4"/>
      <c r="G14" s="10" t="s">
        <v>4</v>
      </c>
      <c r="H14" s="15" t="s">
        <v>5</v>
      </c>
      <c r="I14" s="12" t="s">
        <v>19</v>
      </c>
      <c r="J14" s="12" t="s">
        <v>20</v>
      </c>
      <c r="K14" s="4"/>
      <c r="L14" s="4"/>
      <c r="M14" s="4"/>
      <c r="N14" s="4"/>
      <c r="O14" s="4"/>
      <c r="P14" s="4"/>
      <c r="Q14" s="4"/>
      <c r="R14" s="4"/>
      <c r="S14" s="4"/>
      <c r="T14" s="3"/>
    </row>
    <row r="15" spans="1:20" ht="18" x14ac:dyDescent="0.35">
      <c r="A15" s="4"/>
      <c r="B15" s="4"/>
      <c r="C15" s="4"/>
      <c r="D15" s="4"/>
      <c r="E15" s="4"/>
      <c r="F15" s="4"/>
      <c r="G15" s="12">
        <f xml:space="preserve"> SQRT(2*H8*I8/J8)</f>
        <v>77.459666924148337</v>
      </c>
      <c r="H15" s="12">
        <f>2*H8*I8*J8</f>
        <v>540000000</v>
      </c>
      <c r="I15" s="12">
        <f>I8/J8</f>
        <v>2</v>
      </c>
      <c r="J15" s="12">
        <f>1/I15</f>
        <v>0.5</v>
      </c>
      <c r="K15" s="4"/>
      <c r="L15" s="4"/>
      <c r="M15" s="4"/>
      <c r="N15" s="4"/>
      <c r="O15" s="4"/>
      <c r="P15" s="4"/>
      <c r="Q15" s="4"/>
      <c r="R15" s="4"/>
      <c r="S15" s="4"/>
      <c r="T15" s="3"/>
    </row>
    <row r="16" spans="1:20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3"/>
    </row>
    <row r="17" spans="1:20" ht="18" x14ac:dyDescent="0.35">
      <c r="A17" s="12" t="s">
        <v>6</v>
      </c>
      <c r="B17" s="16" t="s">
        <v>10</v>
      </c>
      <c r="C17" s="17"/>
      <c r="D17" s="4"/>
      <c r="E17" s="16" t="s">
        <v>13</v>
      </c>
      <c r="F17" s="17"/>
      <c r="G17" s="4"/>
      <c r="H17" s="15" t="s">
        <v>12</v>
      </c>
      <c r="I17" s="4"/>
      <c r="J17" s="16" t="s">
        <v>15</v>
      </c>
      <c r="K17" s="18"/>
      <c r="L17" s="19"/>
      <c r="M17" s="4"/>
      <c r="N17" s="4"/>
      <c r="O17" s="4"/>
      <c r="P17" s="4"/>
      <c r="Q17" s="4"/>
      <c r="R17" s="4"/>
      <c r="S17" s="4"/>
      <c r="T17" s="3"/>
    </row>
    <row r="18" spans="1:20" ht="18" x14ac:dyDescent="0.35">
      <c r="A18" s="12">
        <v>0.1</v>
      </c>
      <c r="B18" s="11" t="s">
        <v>7</v>
      </c>
      <c r="C18" s="11" t="s">
        <v>8</v>
      </c>
      <c r="D18" s="4"/>
      <c r="E18" s="11" t="s">
        <v>11</v>
      </c>
      <c r="F18" s="11" t="s">
        <v>7</v>
      </c>
      <c r="G18" s="4"/>
      <c r="H18" s="10">
        <v>0</v>
      </c>
      <c r="I18" s="4"/>
      <c r="J18" s="15" t="s">
        <v>16</v>
      </c>
      <c r="K18" s="15" t="s">
        <v>8</v>
      </c>
      <c r="L18" s="15" t="s">
        <v>17</v>
      </c>
      <c r="M18" s="4"/>
      <c r="N18" s="4"/>
      <c r="O18" s="4"/>
      <c r="P18" s="4"/>
      <c r="Q18" s="4"/>
      <c r="R18" s="4"/>
      <c r="S18" s="4"/>
      <c r="T18" s="3"/>
    </row>
    <row r="19" spans="1:20" ht="18" x14ac:dyDescent="0.35">
      <c r="A19" s="12">
        <f>$A$18+0.2</f>
        <v>0.30000000000000004</v>
      </c>
      <c r="B19" s="12">
        <f>$G$15*A18</f>
        <v>7.745966692414834</v>
      </c>
      <c r="C19" s="12">
        <f>(($H$8*$I$8)/B19+($J$8*B19)/2)</f>
        <v>117351.39539008473</v>
      </c>
      <c r="D19" s="4"/>
      <c r="E19" s="12">
        <v>0</v>
      </c>
      <c r="F19" s="12">
        <v>0</v>
      </c>
      <c r="G19" s="4"/>
      <c r="H19" s="10">
        <f>$H18+0.2</f>
        <v>0.2</v>
      </c>
      <c r="I19" s="4"/>
      <c r="J19" s="10">
        <f>B19+0.5*J20</f>
        <v>46.127836806978181</v>
      </c>
      <c r="K19" s="10">
        <f>$H$8*$I$8/J19+$J$8*J19/2</f>
        <v>26430.170666256934</v>
      </c>
      <c r="L19" s="10">
        <f>K19/$H$15</f>
        <v>4.8944760493068399E-5</v>
      </c>
      <c r="M19" s="4"/>
      <c r="N19" s="4"/>
      <c r="O19" s="4"/>
      <c r="P19" s="4"/>
      <c r="Q19" s="4"/>
      <c r="R19" s="4"/>
      <c r="S19" s="4"/>
      <c r="T19" s="3"/>
    </row>
    <row r="20" spans="1:20" ht="18" x14ac:dyDescent="0.35">
      <c r="A20" s="12">
        <f>$A19+0.2</f>
        <v>0.5</v>
      </c>
      <c r="B20" s="12">
        <f t="shared" ref="B20:B28" si="0">$G$15*A19</f>
        <v>23.237900077244504</v>
      </c>
      <c r="C20" s="12">
        <f t="shared" ref="C20:C28" si="1">(($H$8*$I$8)/B20+($J$8*B20)/2)</f>
        <v>42215.518473660843</v>
      </c>
      <c r="D20" s="4"/>
      <c r="E20" s="12">
        <v>0</v>
      </c>
      <c r="F20" s="12">
        <f>$G$15-$G$15*H18</f>
        <v>77.459666924148337</v>
      </c>
      <c r="G20" s="4"/>
      <c r="H20" s="10">
        <f t="shared" ref="H20:H38" si="2">$H19+0.2</f>
        <v>0.4</v>
      </c>
      <c r="I20" s="4"/>
      <c r="J20" s="10">
        <f t="shared" ref="J20:J27" si="3">B20+0.5*J21</f>
        <v>76.763740229126697</v>
      </c>
      <c r="K20" s="10">
        <f t="shared" ref="K20:K28" si="4">$H$8*$I$8/J20+$J$8*J20/2</f>
        <v>23238.846449770252</v>
      </c>
      <c r="L20" s="10">
        <f t="shared" ref="L20:L28" si="5">K20/$H$15</f>
        <v>4.303490083290787E-5</v>
      </c>
      <c r="M20" s="4"/>
      <c r="N20" s="4"/>
      <c r="O20" s="4"/>
      <c r="P20" s="4"/>
      <c r="Q20" s="4"/>
      <c r="R20" s="4"/>
      <c r="S20" s="4"/>
      <c r="T20" s="3"/>
    </row>
    <row r="21" spans="1:20" ht="18" x14ac:dyDescent="0.35">
      <c r="A21" s="12">
        <f t="shared" ref="A21:A28" si="6">$A20+0.2</f>
        <v>0.7</v>
      </c>
      <c r="B21" s="12">
        <f t="shared" si="0"/>
        <v>38.729833462074168</v>
      </c>
      <c r="C21" s="12">
        <f t="shared" si="1"/>
        <v>29047.375096555628</v>
      </c>
      <c r="D21" s="4"/>
      <c r="E21" s="12">
        <f>$J$15*H19</f>
        <v>0.1</v>
      </c>
      <c r="F21" s="12">
        <f t="shared" ref="F21:F25" si="7">$G$15-$G$15*H19</f>
        <v>61.967733539318672</v>
      </c>
      <c r="G21" s="4"/>
      <c r="H21" s="10">
        <f t="shared" si="2"/>
        <v>0.60000000000000009</v>
      </c>
      <c r="I21" s="4"/>
      <c r="J21" s="10">
        <f t="shared" si="3"/>
        <v>107.05168030376439</v>
      </c>
      <c r="K21" s="10">
        <f t="shared" si="4"/>
        <v>24464.906397987768</v>
      </c>
      <c r="L21" s="10">
        <f t="shared" si="5"/>
        <v>4.5305382218495868E-5</v>
      </c>
      <c r="M21" s="4"/>
      <c r="N21" s="4"/>
      <c r="O21" s="4"/>
      <c r="P21" s="4"/>
      <c r="Q21" s="4"/>
      <c r="R21" s="4"/>
      <c r="S21" s="4"/>
      <c r="T21" s="3"/>
    </row>
    <row r="22" spans="1:20" ht="18" x14ac:dyDescent="0.35">
      <c r="A22" s="12">
        <f t="shared" si="6"/>
        <v>0.89999999999999991</v>
      </c>
      <c r="B22" s="12">
        <f t="shared" si="0"/>
        <v>54.221766846903833</v>
      </c>
      <c r="C22" s="12">
        <f t="shared" si="1"/>
        <v>24731.765082210222</v>
      </c>
      <c r="D22" s="4"/>
      <c r="E22" s="12">
        <f t="shared" ref="E22:E38" si="8">$J$15*H20</f>
        <v>0.2</v>
      </c>
      <c r="F22" s="12">
        <f t="shared" si="7"/>
        <v>46.475800154489001</v>
      </c>
      <c r="G22" s="4"/>
      <c r="H22" s="10">
        <f t="shared" si="2"/>
        <v>0.8</v>
      </c>
      <c r="I22" s="4"/>
      <c r="J22" s="10">
        <f t="shared" si="3"/>
        <v>136.64369368338043</v>
      </c>
      <c r="K22" s="10">
        <f t="shared" si="4"/>
        <v>27083.027059343414</v>
      </c>
      <c r="L22" s="10">
        <f t="shared" si="5"/>
        <v>5.0153753813598916E-5</v>
      </c>
      <c r="M22" s="4"/>
      <c r="N22" s="4"/>
      <c r="O22" s="4"/>
      <c r="P22" s="4"/>
      <c r="Q22" s="4"/>
      <c r="R22" s="4"/>
      <c r="S22" s="4"/>
      <c r="T22" s="3"/>
    </row>
    <row r="23" spans="1:20" ht="18" x14ac:dyDescent="0.35">
      <c r="A23" s="12">
        <f t="shared" si="6"/>
        <v>1.0999999999999999</v>
      </c>
      <c r="B23" s="12">
        <f t="shared" si="0"/>
        <v>69.713700231733498</v>
      </c>
      <c r="C23" s="12">
        <f t="shared" si="1"/>
        <v>23366.99952211808</v>
      </c>
      <c r="D23" s="4"/>
      <c r="E23" s="12">
        <f t="shared" si="8"/>
        <v>0.30000000000000004</v>
      </c>
      <c r="F23" s="12">
        <f t="shared" si="7"/>
        <v>30.983866769659329</v>
      </c>
      <c r="G23" s="4"/>
      <c r="H23" s="10">
        <f t="shared" si="2"/>
        <v>1</v>
      </c>
      <c r="I23" s="4"/>
      <c r="J23" s="10">
        <f t="shared" si="3"/>
        <v>164.84385367295317</v>
      </c>
      <c r="K23" s="10">
        <f t="shared" si="4"/>
        <v>30186.290257050347</v>
      </c>
      <c r="L23" s="10">
        <f t="shared" si="5"/>
        <v>5.5900537513056197E-5</v>
      </c>
      <c r="M23" s="4"/>
      <c r="N23" s="4"/>
      <c r="O23" s="4"/>
      <c r="P23" s="4"/>
      <c r="Q23" s="4"/>
      <c r="R23" s="4"/>
      <c r="S23" s="4"/>
      <c r="T23" s="3"/>
    </row>
    <row r="24" spans="1:20" ht="18" x14ac:dyDescent="0.35">
      <c r="A24" s="12">
        <f t="shared" si="6"/>
        <v>1.2999999999999998</v>
      </c>
      <c r="B24" s="12">
        <f t="shared" si="0"/>
        <v>85.205633616563162</v>
      </c>
      <c r="C24" s="12">
        <f t="shared" si="1"/>
        <v>23343.526895777431</v>
      </c>
      <c r="D24" s="4"/>
      <c r="E24" s="12">
        <f t="shared" si="8"/>
        <v>0.4</v>
      </c>
      <c r="F24" s="12">
        <f t="shared" si="7"/>
        <v>15.491933384829665</v>
      </c>
      <c r="G24" s="4"/>
      <c r="H24" s="10">
        <f t="shared" si="2"/>
        <v>1.2</v>
      </c>
      <c r="I24" s="4"/>
      <c r="J24" s="10">
        <f t="shared" si="3"/>
        <v>190.26030688243935</v>
      </c>
      <c r="K24" s="10">
        <f t="shared" si="4"/>
        <v>33269.407371245194</v>
      </c>
      <c r="L24" s="10">
        <f t="shared" si="5"/>
        <v>6.1610013650454059E-5</v>
      </c>
      <c r="M24" s="4"/>
      <c r="N24" s="4"/>
      <c r="O24" s="4"/>
      <c r="P24" s="4"/>
      <c r="Q24" s="4"/>
      <c r="R24" s="4"/>
      <c r="S24" s="4"/>
      <c r="T24" s="3"/>
    </row>
    <row r="25" spans="1:20" ht="18" x14ac:dyDescent="0.35">
      <c r="A25" s="12">
        <f t="shared" si="6"/>
        <v>1.4999999999999998</v>
      </c>
      <c r="B25" s="12">
        <f t="shared" si="0"/>
        <v>100.69756700139283</v>
      </c>
      <c r="C25" s="12">
        <f t="shared" si="1"/>
        <v>24042.288926072193</v>
      </c>
      <c r="D25" s="4"/>
      <c r="E25" s="12">
        <f t="shared" si="8"/>
        <v>0.5</v>
      </c>
      <c r="F25" s="12">
        <f t="shared" si="7"/>
        <v>0</v>
      </c>
      <c r="G25" s="4"/>
      <c r="H25" s="10">
        <f t="shared" si="2"/>
        <v>1.4</v>
      </c>
      <c r="I25" s="4"/>
      <c r="J25" s="10">
        <f t="shared" si="3"/>
        <v>210.10934653175235</v>
      </c>
      <c r="K25" s="10">
        <f t="shared" si="4"/>
        <v>35799.885864969212</v>
      </c>
      <c r="L25" s="10">
        <f t="shared" si="5"/>
        <v>6.6296084935128175E-5</v>
      </c>
      <c r="M25" s="4"/>
      <c r="N25" s="4"/>
      <c r="O25" s="4"/>
      <c r="P25" s="4"/>
      <c r="Q25" s="4"/>
      <c r="R25" s="4"/>
      <c r="S25" s="4"/>
      <c r="T25" s="3"/>
    </row>
    <row r="26" spans="1:20" ht="18" x14ac:dyDescent="0.35">
      <c r="A26" s="12">
        <f t="shared" si="6"/>
        <v>1.6999999999999997</v>
      </c>
      <c r="B26" s="12">
        <f t="shared" si="0"/>
        <v>116.18950038622249</v>
      </c>
      <c r="C26" s="12">
        <f t="shared" si="1"/>
        <v>25174.391750348208</v>
      </c>
      <c r="D26" s="4"/>
      <c r="E26" s="12">
        <f t="shared" si="8"/>
        <v>0.6</v>
      </c>
      <c r="F26" s="12">
        <f>F20</f>
        <v>77.459666924148337</v>
      </c>
      <c r="G26" s="4"/>
      <c r="H26" s="10">
        <f t="shared" si="2"/>
        <v>1.5999999999999999</v>
      </c>
      <c r="I26" s="4"/>
      <c r="J26" s="10">
        <f t="shared" si="3"/>
        <v>218.82355906071902</v>
      </c>
      <c r="K26" s="10">
        <f t="shared" si="4"/>
        <v>36936.436527646707</v>
      </c>
      <c r="L26" s="10">
        <f t="shared" si="5"/>
        <v>6.8400808384530941E-5</v>
      </c>
      <c r="M26" s="4"/>
      <c r="N26" s="4"/>
      <c r="O26" s="4"/>
      <c r="P26" s="4"/>
      <c r="Q26" s="4"/>
      <c r="R26" s="4"/>
      <c r="S26" s="4"/>
      <c r="T26" s="3"/>
    </row>
    <row r="27" spans="1:20" ht="18" x14ac:dyDescent="0.35">
      <c r="A27" s="12">
        <f t="shared" si="6"/>
        <v>1.8999999999999997</v>
      </c>
      <c r="B27" s="12">
        <f t="shared" si="0"/>
        <v>131.68143377105216</v>
      </c>
      <c r="C27" s="12">
        <f t="shared" si="1"/>
        <v>26586.891558965031</v>
      </c>
      <c r="D27" s="4"/>
      <c r="E27" s="12">
        <f t="shared" si="8"/>
        <v>0.7</v>
      </c>
      <c r="F27" s="12">
        <f t="shared" ref="F27:F31" si="9">F21</f>
        <v>61.967733539318672</v>
      </c>
      <c r="G27" s="4"/>
      <c r="H27" s="10">
        <f t="shared" si="2"/>
        <v>1.7999999999999998</v>
      </c>
      <c r="I27" s="4"/>
      <c r="J27" s="10">
        <f t="shared" si="3"/>
        <v>205.26811734899306</v>
      </c>
      <c r="K27" s="10">
        <f t="shared" si="4"/>
        <v>35174.72705088566</v>
      </c>
      <c r="L27" s="10">
        <f t="shared" si="5"/>
        <v>6.5138383427566036E-5</v>
      </c>
      <c r="M27" s="4"/>
      <c r="N27" s="4"/>
      <c r="O27" s="4"/>
      <c r="P27" s="4"/>
      <c r="Q27" s="4"/>
      <c r="R27" s="4"/>
      <c r="S27" s="4"/>
      <c r="T27" s="3"/>
    </row>
    <row r="28" spans="1:20" ht="18" x14ac:dyDescent="0.35">
      <c r="A28" s="12">
        <f t="shared" si="6"/>
        <v>2.0999999999999996</v>
      </c>
      <c r="B28" s="12">
        <f t="shared" si="0"/>
        <v>147.17336715588181</v>
      </c>
      <c r="C28" s="12">
        <f t="shared" si="1"/>
        <v>28191.241935815036</v>
      </c>
      <c r="D28" s="4"/>
      <c r="E28" s="12">
        <f t="shared" si="8"/>
        <v>0.79999999999999993</v>
      </c>
      <c r="F28" s="12">
        <f t="shared" si="9"/>
        <v>46.475800154489001</v>
      </c>
      <c r="G28" s="4"/>
      <c r="H28" s="10">
        <f t="shared" si="2"/>
        <v>1.9999999999999998</v>
      </c>
      <c r="I28" s="4"/>
      <c r="J28" s="10">
        <f>B28+0.5*J29</f>
        <v>147.17336715588181</v>
      </c>
      <c r="K28" s="10">
        <f t="shared" si="4"/>
        <v>28191.241935815036</v>
      </c>
      <c r="L28" s="10">
        <f t="shared" si="5"/>
        <v>5.2206003584842663E-5</v>
      </c>
      <c r="M28" s="4"/>
      <c r="N28" s="4"/>
      <c r="O28" s="4"/>
      <c r="P28" s="4"/>
      <c r="Q28" s="4"/>
      <c r="R28" s="4"/>
      <c r="S28" s="4"/>
      <c r="T28" s="3"/>
    </row>
    <row r="29" spans="1:20" ht="18" x14ac:dyDescent="0.35">
      <c r="A29" s="4"/>
      <c r="B29" s="4"/>
      <c r="C29" s="4"/>
      <c r="D29" s="4"/>
      <c r="E29" s="12">
        <f t="shared" si="8"/>
        <v>0.89999999999999991</v>
      </c>
      <c r="F29" s="12">
        <f t="shared" si="9"/>
        <v>30.983866769659329</v>
      </c>
      <c r="G29" s="4"/>
      <c r="H29" s="10">
        <f t="shared" si="2"/>
        <v>2.1999999999999997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3"/>
    </row>
    <row r="30" spans="1:20" ht="18" x14ac:dyDescent="0.35">
      <c r="A30" s="4"/>
      <c r="B30" s="4"/>
      <c r="C30" s="4"/>
      <c r="D30" s="4"/>
      <c r="E30" s="12">
        <f t="shared" si="8"/>
        <v>0.99999999999999989</v>
      </c>
      <c r="F30" s="12">
        <f>F24</f>
        <v>15.491933384829665</v>
      </c>
      <c r="G30" s="4"/>
      <c r="H30" s="10">
        <f t="shared" si="2"/>
        <v>2.4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3"/>
    </row>
    <row r="31" spans="1:20" ht="18" x14ac:dyDescent="0.35">
      <c r="A31" s="4"/>
      <c r="B31" s="4"/>
      <c r="C31" s="4"/>
      <c r="D31" s="4"/>
      <c r="E31" s="12">
        <f t="shared" si="8"/>
        <v>1.0999999999999999</v>
      </c>
      <c r="F31" s="12">
        <f t="shared" si="9"/>
        <v>0</v>
      </c>
      <c r="G31" s="4"/>
      <c r="H31" s="10">
        <f t="shared" si="2"/>
        <v>2.6</v>
      </c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3"/>
    </row>
    <row r="32" spans="1:20" ht="18" x14ac:dyDescent="0.35">
      <c r="A32" s="4"/>
      <c r="B32" s="4"/>
      <c r="C32" s="4"/>
      <c r="D32" s="4"/>
      <c r="E32" s="12">
        <f t="shared" si="8"/>
        <v>1.2</v>
      </c>
      <c r="F32" s="12">
        <f>F20</f>
        <v>77.459666924148337</v>
      </c>
      <c r="G32" s="4"/>
      <c r="H32" s="10">
        <f t="shared" si="2"/>
        <v>2.8000000000000003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3"/>
    </row>
    <row r="33" spans="1:20" ht="18" x14ac:dyDescent="0.35">
      <c r="A33" s="4"/>
      <c r="B33" s="4"/>
      <c r="C33" s="4"/>
      <c r="D33" s="4"/>
      <c r="E33" s="12">
        <f t="shared" si="8"/>
        <v>1.3</v>
      </c>
      <c r="F33" s="12">
        <f t="shared" ref="F33:F37" si="10">F21</f>
        <v>61.967733539318672</v>
      </c>
      <c r="G33" s="4"/>
      <c r="H33" s="10">
        <f t="shared" si="2"/>
        <v>3.0000000000000004</v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3"/>
    </row>
    <row r="34" spans="1:20" ht="18" x14ac:dyDescent="0.35">
      <c r="A34" s="4"/>
      <c r="B34" s="4"/>
      <c r="C34" s="4"/>
      <c r="D34" s="4"/>
      <c r="E34" s="12">
        <f t="shared" si="8"/>
        <v>1.4000000000000001</v>
      </c>
      <c r="F34" s="12">
        <f t="shared" si="10"/>
        <v>46.475800154489001</v>
      </c>
      <c r="G34" s="4"/>
      <c r="H34" s="10">
        <f t="shared" si="2"/>
        <v>3.2000000000000006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3"/>
    </row>
    <row r="35" spans="1:20" ht="18" x14ac:dyDescent="0.35">
      <c r="A35" s="4"/>
      <c r="B35" s="4"/>
      <c r="C35" s="4"/>
      <c r="D35" s="4"/>
      <c r="E35" s="12">
        <f t="shared" si="8"/>
        <v>1.5000000000000002</v>
      </c>
      <c r="F35" s="12">
        <f t="shared" si="10"/>
        <v>30.983866769659329</v>
      </c>
      <c r="G35" s="4"/>
      <c r="H35" s="10">
        <f t="shared" si="2"/>
        <v>3.4000000000000008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3"/>
    </row>
    <row r="36" spans="1:20" ht="18" x14ac:dyDescent="0.35">
      <c r="A36" s="4"/>
      <c r="B36" s="4"/>
      <c r="C36" s="4"/>
      <c r="D36" s="4"/>
      <c r="E36" s="12">
        <f t="shared" si="8"/>
        <v>1.6000000000000003</v>
      </c>
      <c r="F36" s="12">
        <f t="shared" si="10"/>
        <v>15.491933384829665</v>
      </c>
      <c r="G36" s="4"/>
      <c r="H36" s="10">
        <f t="shared" si="2"/>
        <v>3.600000000000001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3"/>
    </row>
    <row r="37" spans="1:20" ht="18" x14ac:dyDescent="0.35">
      <c r="A37" s="4"/>
      <c r="B37" s="4"/>
      <c r="C37" s="4"/>
      <c r="D37" s="4"/>
      <c r="E37" s="12">
        <f t="shared" si="8"/>
        <v>1.7000000000000004</v>
      </c>
      <c r="F37" s="12">
        <f t="shared" si="10"/>
        <v>0</v>
      </c>
      <c r="G37" s="4"/>
      <c r="H37" s="10">
        <f t="shared" si="2"/>
        <v>3.8000000000000012</v>
      </c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3"/>
    </row>
    <row r="38" spans="1:20" ht="18" x14ac:dyDescent="0.35">
      <c r="A38" s="4"/>
      <c r="B38" s="4"/>
      <c r="C38" s="4"/>
      <c r="D38" s="4"/>
      <c r="E38" s="12">
        <f t="shared" si="8"/>
        <v>1.8000000000000005</v>
      </c>
      <c r="F38" s="12"/>
      <c r="G38" s="4"/>
      <c r="H38" s="10">
        <f t="shared" si="2"/>
        <v>4.0000000000000009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3"/>
    </row>
    <row r="39" spans="1:20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3"/>
    </row>
    <row r="40" spans="1:20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3"/>
    </row>
    <row r="41" spans="1:20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3"/>
    </row>
    <row r="42" spans="1:20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3"/>
    </row>
    <row r="43" spans="1:20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3"/>
    </row>
    <row r="44" spans="1:20" ht="9.75" customHeight="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</row>
  </sheetData>
  <mergeCells count="6">
    <mergeCell ref="B17:C17"/>
    <mergeCell ref="E17:F17"/>
    <mergeCell ref="D1:Q1"/>
    <mergeCell ref="H5:J5"/>
    <mergeCell ref="H12:J12"/>
    <mergeCell ref="J17:L17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0</xdr:col>
                <xdr:colOff>45720</xdr:colOff>
                <xdr:row>28</xdr:row>
                <xdr:rowOff>175260</xdr:rowOff>
              </from>
              <to>
                <xdr:col>2</xdr:col>
                <xdr:colOff>701040</xdr:colOff>
                <xdr:row>31</xdr:row>
                <xdr:rowOff>99060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3</xdr:col>
                <xdr:colOff>137160</xdr:colOff>
                <xdr:row>38</xdr:row>
                <xdr:rowOff>137160</xdr:rowOff>
              </from>
              <to>
                <xdr:col>6</xdr:col>
                <xdr:colOff>297180</xdr:colOff>
                <xdr:row>42</xdr:row>
                <xdr:rowOff>15240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X44"/>
  <sheetViews>
    <sheetView zoomScale="55" zoomScaleNormal="55" workbookViewId="0">
      <selection activeCell="Z31" sqref="Z31"/>
    </sheetView>
  </sheetViews>
  <sheetFormatPr defaultColWidth="9.109375" defaultRowHeight="14.4" x14ac:dyDescent="0.3"/>
  <cols>
    <col min="1" max="2" width="9.109375" style="1"/>
    <col min="3" max="3" width="12.88671875" style="1" customWidth="1"/>
    <col min="4" max="4" width="8" style="1" customWidth="1"/>
    <col min="5" max="5" width="11.109375" style="1" customWidth="1"/>
    <col min="6" max="6" width="17.88671875" style="1" customWidth="1"/>
    <col min="7" max="7" width="15.109375" style="1" customWidth="1"/>
    <col min="8" max="8" width="15.6640625" style="1" customWidth="1"/>
    <col min="9" max="9" width="11.6640625" style="1" customWidth="1"/>
    <col min="10" max="10" width="14.88671875" style="1" customWidth="1"/>
    <col min="11" max="11" width="15.5546875" style="1" customWidth="1"/>
    <col min="12" max="12" width="6.33203125" style="1" customWidth="1"/>
    <col min="13" max="19" width="9.109375" style="1"/>
    <col min="20" max="20" width="2.5546875" style="1" customWidth="1"/>
    <col min="21" max="16384" width="9.109375" style="1"/>
  </cols>
  <sheetData>
    <row r="1" spans="1:24" ht="23.4" x14ac:dyDescent="0.45">
      <c r="A1" s="4"/>
      <c r="B1" s="4"/>
      <c r="C1" s="4"/>
      <c r="D1" s="5" t="s">
        <v>0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4"/>
      <c r="S1" s="4"/>
      <c r="T1" s="3"/>
    </row>
    <row r="2" spans="1:24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3"/>
    </row>
    <row r="3" spans="1:24" x14ac:dyDescent="0.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3"/>
      <c r="U3" s="2"/>
      <c r="V3" s="2"/>
      <c r="W3" s="2"/>
      <c r="X3" s="2"/>
    </row>
    <row r="4" spans="1:24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3"/>
    </row>
    <row r="5" spans="1:24" ht="18" x14ac:dyDescent="0.35">
      <c r="A5" s="4"/>
      <c r="B5" s="4"/>
      <c r="C5" s="4"/>
      <c r="D5" s="4"/>
      <c r="E5" s="4"/>
      <c r="F5" s="4"/>
      <c r="G5" s="4"/>
      <c r="H5" s="8" t="s">
        <v>2</v>
      </c>
      <c r="I5" s="8"/>
      <c r="J5" s="8"/>
      <c r="K5" s="4"/>
      <c r="L5" s="4"/>
      <c r="M5" s="4"/>
      <c r="N5" s="4"/>
      <c r="O5" s="4"/>
      <c r="P5" s="4"/>
      <c r="Q5" s="4"/>
      <c r="R5" s="4"/>
      <c r="S5" s="4"/>
      <c r="T5" s="3"/>
    </row>
    <row r="6" spans="1:24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3"/>
    </row>
    <row r="7" spans="1:24" ht="18" x14ac:dyDescent="0.35">
      <c r="A7" s="4"/>
      <c r="B7" s="4"/>
      <c r="C7" s="4"/>
      <c r="D7" s="4"/>
      <c r="E7" s="4"/>
      <c r="F7" s="4"/>
      <c r="G7" s="9" t="s">
        <v>14</v>
      </c>
      <c r="H7" s="10" t="s">
        <v>9</v>
      </c>
      <c r="I7" s="10" t="s">
        <v>1</v>
      </c>
      <c r="J7" s="11" t="s">
        <v>18</v>
      </c>
      <c r="K7" s="4"/>
      <c r="L7" s="4"/>
      <c r="M7" s="4"/>
      <c r="N7" s="4"/>
      <c r="O7" s="4"/>
      <c r="P7" s="4"/>
      <c r="Q7" s="4"/>
      <c r="R7" s="4"/>
      <c r="S7" s="4"/>
      <c r="T7" s="3"/>
    </row>
    <row r="8" spans="1:24" ht="18" x14ac:dyDescent="0.35">
      <c r="A8" s="4"/>
      <c r="B8" s="4"/>
      <c r="C8" s="4"/>
      <c r="D8" s="4"/>
      <c r="E8" s="4"/>
      <c r="F8" s="4"/>
      <c r="G8" s="9" t="s">
        <v>14</v>
      </c>
      <c r="H8" s="12">
        <v>1500</v>
      </c>
      <c r="I8" s="12">
        <v>300</v>
      </c>
      <c r="J8" s="12">
        <v>1200</v>
      </c>
      <c r="K8" s="4"/>
      <c r="L8" s="4"/>
      <c r="M8" s="4"/>
      <c r="N8" s="4"/>
      <c r="O8" s="4"/>
      <c r="P8" s="4"/>
      <c r="Q8" s="4"/>
      <c r="R8" s="4"/>
      <c r="S8" s="4"/>
      <c r="T8" s="3"/>
    </row>
    <row r="9" spans="1:24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3"/>
    </row>
    <row r="10" spans="1:24" ht="12" customHeight="1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3"/>
    </row>
    <row r="11" spans="1:24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3"/>
    </row>
    <row r="12" spans="1:24" ht="15.6" x14ac:dyDescent="0.3">
      <c r="A12" s="4"/>
      <c r="B12" s="4"/>
      <c r="C12" s="4"/>
      <c r="D12" s="4"/>
      <c r="E12" s="4"/>
      <c r="F12" s="4"/>
      <c r="G12" s="4"/>
      <c r="H12" s="14" t="s">
        <v>3</v>
      </c>
      <c r="I12" s="14"/>
      <c r="J12" s="14"/>
      <c r="K12" s="4"/>
      <c r="L12" s="4"/>
      <c r="M12" s="4"/>
      <c r="N12" s="4"/>
      <c r="O12" s="4"/>
      <c r="P12" s="4"/>
      <c r="Q12" s="4"/>
      <c r="R12" s="4"/>
      <c r="S12" s="4"/>
      <c r="T12" s="3"/>
    </row>
    <row r="13" spans="1:24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3"/>
    </row>
    <row r="14" spans="1:24" ht="18" x14ac:dyDescent="0.35">
      <c r="A14" s="4"/>
      <c r="B14" s="4"/>
      <c r="C14" s="4"/>
      <c r="D14" s="4"/>
      <c r="E14" s="4"/>
      <c r="F14" s="4"/>
      <c r="G14" s="15" t="s">
        <v>4</v>
      </c>
      <c r="H14" s="15" t="s">
        <v>5</v>
      </c>
      <c r="I14" s="12" t="s">
        <v>19</v>
      </c>
      <c r="J14" s="12" t="s">
        <v>20</v>
      </c>
      <c r="K14" s="4"/>
      <c r="L14" s="4"/>
      <c r="M14" s="4"/>
      <c r="N14" s="4"/>
      <c r="O14" s="4"/>
      <c r="P14" s="4"/>
      <c r="Q14" s="4"/>
      <c r="R14" s="4"/>
      <c r="S14" s="4"/>
      <c r="T14" s="3"/>
    </row>
    <row r="15" spans="1:24" ht="18" x14ac:dyDescent="0.35">
      <c r="A15" s="4"/>
      <c r="B15" s="4"/>
      <c r="C15" s="4"/>
      <c r="D15" s="4"/>
      <c r="E15" s="4"/>
      <c r="F15" s="4"/>
      <c r="G15" s="12">
        <f xml:space="preserve"> SQRT(2*H8*I8/J8)</f>
        <v>27.386127875258307</v>
      </c>
      <c r="H15" s="12">
        <f>2*H8*I8*J8</f>
        <v>1080000000</v>
      </c>
      <c r="I15" s="12">
        <f>I8/J8</f>
        <v>0.25</v>
      </c>
      <c r="J15" s="12">
        <f>1/I15</f>
        <v>4</v>
      </c>
      <c r="K15" s="4"/>
      <c r="L15" s="4"/>
      <c r="M15" s="4"/>
      <c r="N15" s="4"/>
      <c r="O15" s="4"/>
      <c r="P15" s="4"/>
      <c r="Q15" s="4"/>
      <c r="R15" s="4"/>
      <c r="S15" s="4"/>
      <c r="T15" s="3"/>
    </row>
    <row r="16" spans="1:24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3"/>
    </row>
    <row r="17" spans="1:20" ht="18" x14ac:dyDescent="0.35">
      <c r="A17" s="12" t="s">
        <v>6</v>
      </c>
      <c r="B17" s="16" t="s">
        <v>10</v>
      </c>
      <c r="C17" s="17"/>
      <c r="D17" s="4"/>
      <c r="E17" s="16" t="s">
        <v>13</v>
      </c>
      <c r="F17" s="17"/>
      <c r="G17" s="4"/>
      <c r="H17" s="15" t="s">
        <v>12</v>
      </c>
      <c r="I17" s="4"/>
      <c r="J17" s="16" t="s">
        <v>15</v>
      </c>
      <c r="K17" s="18"/>
      <c r="L17" s="19"/>
      <c r="M17" s="4"/>
      <c r="N17" s="4"/>
      <c r="O17" s="4"/>
      <c r="P17" s="4"/>
      <c r="Q17" s="4"/>
      <c r="R17" s="4"/>
      <c r="S17" s="4"/>
      <c r="T17" s="3"/>
    </row>
    <row r="18" spans="1:20" ht="18" x14ac:dyDescent="0.35">
      <c r="A18" s="12">
        <v>0.1</v>
      </c>
      <c r="B18" s="11" t="s">
        <v>7</v>
      </c>
      <c r="C18" s="11" t="s">
        <v>8</v>
      </c>
      <c r="D18" s="4"/>
      <c r="E18" s="11" t="s">
        <v>11</v>
      </c>
      <c r="F18" s="11" t="s">
        <v>7</v>
      </c>
      <c r="G18" s="4"/>
      <c r="H18" s="10">
        <v>0</v>
      </c>
      <c r="I18" s="4"/>
      <c r="J18" s="15" t="s">
        <v>16</v>
      </c>
      <c r="K18" s="15" t="s">
        <v>8</v>
      </c>
      <c r="L18" s="15" t="s">
        <v>17</v>
      </c>
      <c r="M18" s="4"/>
      <c r="N18" s="4"/>
      <c r="O18" s="4"/>
      <c r="P18" s="4"/>
      <c r="Q18" s="4"/>
      <c r="R18" s="4"/>
      <c r="S18" s="4"/>
      <c r="T18" s="3"/>
    </row>
    <row r="19" spans="1:20" ht="18" x14ac:dyDescent="0.35">
      <c r="A19" s="12">
        <f>$A$18+0.2</f>
        <v>0.30000000000000004</v>
      </c>
      <c r="B19" s="12">
        <f t="shared" ref="B19:B28" si="0">$G$15*A18</f>
        <v>2.738612787525831</v>
      </c>
      <c r="C19" s="12">
        <f t="shared" ref="C19:C28" si="1">(($H$8*$I$8)/B19+($J$8*B19)/2)</f>
        <v>165959.93492406531</v>
      </c>
      <c r="D19" s="4"/>
      <c r="E19" s="12">
        <v>0</v>
      </c>
      <c r="F19" s="12">
        <v>0</v>
      </c>
      <c r="G19" s="4"/>
      <c r="H19" s="10">
        <f>$H18+0.2</f>
        <v>0.2</v>
      </c>
      <c r="I19" s="4"/>
      <c r="J19" s="10">
        <f>B19+0.5*J20</f>
        <v>16.308653103840349</v>
      </c>
      <c r="K19" s="10">
        <f>$H$8*$I$8/J19+$J$8*J19/2</f>
        <v>37377.905812056095</v>
      </c>
      <c r="L19" s="10">
        <f>K19/$H$15</f>
        <v>3.4609172048200089E-5</v>
      </c>
      <c r="M19" s="4"/>
      <c r="N19" s="4"/>
      <c r="O19" s="4"/>
      <c r="P19" s="4"/>
      <c r="Q19" s="4"/>
      <c r="R19" s="4"/>
      <c r="S19" s="4"/>
      <c r="T19" s="3"/>
    </row>
    <row r="20" spans="1:20" ht="18" x14ac:dyDescent="0.35">
      <c r="A20" s="12">
        <f>$A19+0.2</f>
        <v>0.5</v>
      </c>
      <c r="B20" s="12">
        <f t="shared" si="0"/>
        <v>8.2158383625774931</v>
      </c>
      <c r="C20" s="12">
        <f t="shared" si="1"/>
        <v>59701.758768063097</v>
      </c>
      <c r="D20" s="4"/>
      <c r="E20" s="12">
        <v>0</v>
      </c>
      <c r="F20" s="12">
        <f>$G$15-$G$15*H18</f>
        <v>27.386127875258307</v>
      </c>
      <c r="G20" s="4"/>
      <c r="H20" s="10">
        <f t="shared" ref="H20:H38" si="2">$H19+0.2</f>
        <v>0.4</v>
      </c>
      <c r="I20" s="4"/>
      <c r="J20" s="10">
        <f t="shared" ref="J20:J27" si="3">B20+0.5*J21</f>
        <v>27.140080632629033</v>
      </c>
      <c r="K20" s="10">
        <f t="shared" ref="K20:K28" si="4">$H$8*$I$8/J20+$J$8*J20/2</f>
        <v>32864.691823170942</v>
      </c>
      <c r="L20" s="10">
        <f t="shared" ref="L20:L28" si="5">K20/$H$15</f>
        <v>3.0430270206639763E-5</v>
      </c>
      <c r="M20" s="4"/>
      <c r="N20" s="4"/>
      <c r="O20" s="4"/>
      <c r="P20" s="4"/>
      <c r="Q20" s="4"/>
      <c r="R20" s="4"/>
      <c r="S20" s="4"/>
      <c r="T20" s="3"/>
    </row>
    <row r="21" spans="1:20" ht="18" x14ac:dyDescent="0.35">
      <c r="A21" s="12">
        <f t="shared" ref="A21:A28" si="6">$A20+0.2</f>
        <v>0.7</v>
      </c>
      <c r="B21" s="12">
        <f t="shared" si="0"/>
        <v>13.693063937629153</v>
      </c>
      <c r="C21" s="12">
        <f t="shared" si="1"/>
        <v>41079.191812887453</v>
      </c>
      <c r="D21" s="4"/>
      <c r="E21" s="12">
        <f>$J$15*H19</f>
        <v>0.8</v>
      </c>
      <c r="F21" s="12">
        <f t="shared" ref="F21:F25" si="7">$G$15-$G$15*H19</f>
        <v>21.908902300206645</v>
      </c>
      <c r="G21" s="4"/>
      <c r="H21" s="10">
        <f t="shared" si="2"/>
        <v>0.60000000000000009</v>
      </c>
      <c r="I21" s="4"/>
      <c r="J21" s="10">
        <f t="shared" si="3"/>
        <v>37.84848454010308</v>
      </c>
      <c r="K21" s="10">
        <f t="shared" si="4"/>
        <v>34598.6024302226</v>
      </c>
      <c r="L21" s="10">
        <f t="shared" si="5"/>
        <v>3.2035742990946851E-5</v>
      </c>
      <c r="M21" s="4"/>
      <c r="N21" s="4"/>
      <c r="O21" s="4"/>
      <c r="P21" s="4"/>
      <c r="Q21" s="4"/>
      <c r="R21" s="4"/>
      <c r="S21" s="4"/>
      <c r="T21" s="3"/>
    </row>
    <row r="22" spans="1:20" ht="18" x14ac:dyDescent="0.35">
      <c r="A22" s="12">
        <f t="shared" si="6"/>
        <v>0.89999999999999991</v>
      </c>
      <c r="B22" s="12">
        <f t="shared" si="0"/>
        <v>19.170289512680814</v>
      </c>
      <c r="C22" s="12">
        <f t="shared" si="1"/>
        <v>34975.997600687035</v>
      </c>
      <c r="D22" s="4"/>
      <c r="E22" s="12">
        <f t="shared" ref="E22:E23" si="8">$J$15*H20</f>
        <v>1.6</v>
      </c>
      <c r="F22" s="12">
        <f t="shared" si="7"/>
        <v>16.431676725154983</v>
      </c>
      <c r="G22" s="4"/>
      <c r="H22" s="10">
        <f t="shared" si="2"/>
        <v>0.8</v>
      </c>
      <c r="I22" s="4"/>
      <c r="J22" s="10">
        <f t="shared" si="3"/>
        <v>48.310841204947849</v>
      </c>
      <c r="K22" s="10">
        <f t="shared" si="4"/>
        <v>38301.184177440977</v>
      </c>
      <c r="L22" s="10">
        <f t="shared" si="5"/>
        <v>3.546405942355646E-5</v>
      </c>
      <c r="M22" s="4"/>
      <c r="N22" s="4"/>
      <c r="O22" s="4"/>
      <c r="P22" s="4"/>
      <c r="Q22" s="4"/>
      <c r="R22" s="4"/>
      <c r="S22" s="4"/>
      <c r="T22" s="3"/>
    </row>
    <row r="23" spans="1:20" ht="18" x14ac:dyDescent="0.35">
      <c r="A23" s="12">
        <f t="shared" si="6"/>
        <v>1.0999999999999999</v>
      </c>
      <c r="B23" s="12">
        <f t="shared" si="0"/>
        <v>24.647515087732472</v>
      </c>
      <c r="C23" s="12">
        <f t="shared" si="1"/>
        <v>33045.927636145025</v>
      </c>
      <c r="D23" s="4"/>
      <c r="E23" s="12">
        <f t="shared" si="8"/>
        <v>2.4000000000000004</v>
      </c>
      <c r="F23" s="12">
        <f t="shared" si="7"/>
        <v>10.954451150103321</v>
      </c>
      <c r="G23" s="4"/>
      <c r="H23" s="10">
        <f t="shared" si="2"/>
        <v>1</v>
      </c>
      <c r="I23" s="4"/>
      <c r="J23" s="10">
        <f t="shared" si="3"/>
        <v>58.281103384534077</v>
      </c>
      <c r="K23" s="10">
        <f t="shared" si="4"/>
        <v>42689.861079251423</v>
      </c>
      <c r="L23" s="10">
        <f t="shared" si="5"/>
        <v>3.9527649147455024E-5</v>
      </c>
      <c r="M23" s="4"/>
      <c r="N23" s="4"/>
      <c r="O23" s="4"/>
      <c r="P23" s="4"/>
      <c r="Q23" s="4"/>
      <c r="R23" s="4"/>
      <c r="S23" s="4"/>
      <c r="T23" s="3"/>
    </row>
    <row r="24" spans="1:20" ht="18" x14ac:dyDescent="0.35">
      <c r="A24" s="12">
        <f t="shared" si="6"/>
        <v>1.2999999999999998</v>
      </c>
      <c r="B24" s="12">
        <f t="shared" si="0"/>
        <v>30.124740662784134</v>
      </c>
      <c r="C24" s="12">
        <f t="shared" si="1"/>
        <v>33012.732329629558</v>
      </c>
      <c r="D24" s="4"/>
      <c r="E24" s="12">
        <f t="shared" ref="E24:E38" si="9">$J$15*H22</f>
        <v>3.2</v>
      </c>
      <c r="F24" s="12">
        <f t="shared" si="7"/>
        <v>5.4772255750516585</v>
      </c>
      <c r="G24" s="4"/>
      <c r="H24" s="10">
        <f t="shared" si="2"/>
        <v>1.2</v>
      </c>
      <c r="I24" s="4"/>
      <c r="J24" s="10">
        <f t="shared" si="3"/>
        <v>67.26717659360321</v>
      </c>
      <c r="K24" s="10">
        <f t="shared" si="4"/>
        <v>47050.047116530361</v>
      </c>
      <c r="L24" s="10">
        <f t="shared" si="5"/>
        <v>4.3564858441231814E-5</v>
      </c>
      <c r="M24" s="4"/>
      <c r="N24" s="4"/>
      <c r="O24" s="4"/>
      <c r="P24" s="4"/>
      <c r="Q24" s="4"/>
      <c r="R24" s="4"/>
      <c r="S24" s="4"/>
      <c r="T24" s="3"/>
    </row>
    <row r="25" spans="1:20" ht="18" x14ac:dyDescent="0.35">
      <c r="A25" s="12">
        <f t="shared" si="6"/>
        <v>1.4999999999999998</v>
      </c>
      <c r="B25" s="12">
        <f t="shared" si="0"/>
        <v>35.601966237835796</v>
      </c>
      <c r="C25" s="12">
        <f t="shared" si="1"/>
        <v>34000.931069743776</v>
      </c>
      <c r="D25" s="4"/>
      <c r="E25" s="12">
        <f t="shared" si="9"/>
        <v>4</v>
      </c>
      <c r="F25" s="12">
        <f t="shared" si="7"/>
        <v>0</v>
      </c>
      <c r="G25" s="4"/>
      <c r="H25" s="10">
        <f t="shared" si="2"/>
        <v>1.4</v>
      </c>
      <c r="I25" s="4"/>
      <c r="J25" s="10">
        <f t="shared" si="3"/>
        <v>74.284871861638152</v>
      </c>
      <c r="K25" s="10">
        <f t="shared" si="4"/>
        <v>50628.684121648323</v>
      </c>
      <c r="L25" s="10">
        <f t="shared" si="5"/>
        <v>4.6878411223748447E-5</v>
      </c>
      <c r="M25" s="4"/>
      <c r="N25" s="4"/>
      <c r="O25" s="4"/>
      <c r="P25" s="4"/>
      <c r="Q25" s="4"/>
      <c r="R25" s="4"/>
      <c r="S25" s="4"/>
      <c r="T25" s="3"/>
    </row>
    <row r="26" spans="1:20" ht="18" x14ac:dyDescent="0.35">
      <c r="A26" s="12">
        <f t="shared" si="6"/>
        <v>1.6999999999999997</v>
      </c>
      <c r="B26" s="12">
        <f t="shared" si="0"/>
        <v>41.079191812887451</v>
      </c>
      <c r="C26" s="12">
        <f t="shared" si="1"/>
        <v>35601.966237835797</v>
      </c>
      <c r="D26" s="4"/>
      <c r="E26" s="12">
        <f t="shared" si="9"/>
        <v>4.8</v>
      </c>
      <c r="F26" s="12">
        <f>F20</f>
        <v>27.386127875258307</v>
      </c>
      <c r="G26" s="4"/>
      <c r="H26" s="10">
        <f t="shared" si="2"/>
        <v>1.5999999999999999</v>
      </c>
      <c r="I26" s="4"/>
      <c r="J26" s="10">
        <f t="shared" si="3"/>
        <v>77.365811247604711</v>
      </c>
      <c r="K26" s="10">
        <f t="shared" si="4"/>
        <v>52236.009483130962</v>
      </c>
      <c r="L26" s="10">
        <f t="shared" si="5"/>
        <v>4.836667544734348E-5</v>
      </c>
      <c r="M26" s="4"/>
      <c r="N26" s="4"/>
      <c r="O26" s="4"/>
      <c r="P26" s="4"/>
      <c r="Q26" s="4"/>
      <c r="R26" s="4"/>
      <c r="S26" s="4"/>
      <c r="T26" s="3"/>
    </row>
    <row r="27" spans="1:20" ht="18" x14ac:dyDescent="0.35">
      <c r="A27" s="12">
        <f t="shared" si="6"/>
        <v>1.8999999999999997</v>
      </c>
      <c r="B27" s="12">
        <f t="shared" si="0"/>
        <v>46.556417387939113</v>
      </c>
      <c r="C27" s="12">
        <f t="shared" si="1"/>
        <v>37599.542624031106</v>
      </c>
      <c r="D27" s="4"/>
      <c r="E27" s="12">
        <f t="shared" si="9"/>
        <v>5.6</v>
      </c>
      <c r="F27" s="12">
        <f t="shared" ref="F27:F37" si="10">F21</f>
        <v>21.908902300206645</v>
      </c>
      <c r="G27" s="4"/>
      <c r="H27" s="10">
        <f t="shared" si="2"/>
        <v>1.7999999999999998</v>
      </c>
      <c r="I27" s="4"/>
      <c r="J27" s="10">
        <f t="shared" si="3"/>
        <v>72.573238869434505</v>
      </c>
      <c r="K27" s="10">
        <f t="shared" si="4"/>
        <v>49744.57604813428</v>
      </c>
      <c r="L27" s="10">
        <f t="shared" si="5"/>
        <v>4.6059792637161372E-5</v>
      </c>
      <c r="M27" s="4"/>
      <c r="N27" s="4"/>
      <c r="O27" s="4"/>
      <c r="P27" s="4"/>
      <c r="Q27" s="4"/>
      <c r="R27" s="4"/>
      <c r="S27" s="4"/>
      <c r="T27" s="3"/>
    </row>
    <row r="28" spans="1:20" ht="18" x14ac:dyDescent="0.35">
      <c r="A28" s="12">
        <f t="shared" si="6"/>
        <v>2.0999999999999996</v>
      </c>
      <c r="B28" s="12">
        <f t="shared" si="0"/>
        <v>52.033642962990776</v>
      </c>
      <c r="C28" s="12">
        <f t="shared" si="1"/>
        <v>39868.436685770772</v>
      </c>
      <c r="D28" s="4"/>
      <c r="E28" s="12">
        <f t="shared" si="9"/>
        <v>6.3999999999999995</v>
      </c>
      <c r="F28" s="12">
        <f t="shared" si="10"/>
        <v>16.431676725154983</v>
      </c>
      <c r="G28" s="4"/>
      <c r="H28" s="10">
        <f t="shared" si="2"/>
        <v>1.9999999999999998</v>
      </c>
      <c r="I28" s="4"/>
      <c r="J28" s="10">
        <f>B28+0.5*J29</f>
        <v>52.033642962990776</v>
      </c>
      <c r="K28" s="10">
        <f t="shared" si="4"/>
        <v>39868.436685770772</v>
      </c>
      <c r="L28" s="10">
        <f t="shared" si="5"/>
        <v>3.6915219153491458E-5</v>
      </c>
      <c r="M28" s="4"/>
      <c r="N28" s="4"/>
      <c r="O28" s="4"/>
      <c r="P28" s="4"/>
      <c r="Q28" s="4"/>
      <c r="R28" s="4"/>
      <c r="S28" s="4"/>
      <c r="T28" s="3"/>
    </row>
    <row r="29" spans="1:20" ht="18" x14ac:dyDescent="0.35">
      <c r="A29" s="4"/>
      <c r="B29" s="4"/>
      <c r="C29" s="4"/>
      <c r="D29" s="4"/>
      <c r="E29" s="12">
        <f t="shared" si="9"/>
        <v>7.1999999999999993</v>
      </c>
      <c r="F29" s="12">
        <f t="shared" si="10"/>
        <v>10.954451150103321</v>
      </c>
      <c r="G29" s="4"/>
      <c r="H29" s="10">
        <f t="shared" si="2"/>
        <v>2.1999999999999997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3"/>
    </row>
    <row r="30" spans="1:20" ht="18" x14ac:dyDescent="0.35">
      <c r="A30" s="4"/>
      <c r="B30" s="4"/>
      <c r="C30" s="4"/>
      <c r="D30" s="4"/>
      <c r="E30" s="12">
        <f t="shared" si="9"/>
        <v>7.9999999999999991</v>
      </c>
      <c r="F30" s="12">
        <f t="shared" si="10"/>
        <v>5.4772255750516585</v>
      </c>
      <c r="G30" s="4"/>
      <c r="H30" s="10">
        <f t="shared" si="2"/>
        <v>2.4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3"/>
    </row>
    <row r="31" spans="1:20" ht="18" x14ac:dyDescent="0.35">
      <c r="A31" s="4"/>
      <c r="B31" s="4"/>
      <c r="C31" s="4"/>
      <c r="D31" s="4"/>
      <c r="E31" s="12">
        <f t="shared" si="9"/>
        <v>8.7999999999999989</v>
      </c>
      <c r="F31" s="12">
        <f>F25</f>
        <v>0</v>
      </c>
      <c r="G31" s="4"/>
      <c r="H31" s="10">
        <f t="shared" si="2"/>
        <v>2.6</v>
      </c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3"/>
    </row>
    <row r="32" spans="1:20" ht="18" x14ac:dyDescent="0.35">
      <c r="A32" s="4"/>
      <c r="B32" s="4"/>
      <c r="C32" s="4"/>
      <c r="D32" s="4"/>
      <c r="E32" s="12">
        <f t="shared" si="9"/>
        <v>9.6</v>
      </c>
      <c r="F32" s="12">
        <f t="shared" si="10"/>
        <v>27.386127875258307</v>
      </c>
      <c r="G32" s="4"/>
      <c r="H32" s="10">
        <f t="shared" si="2"/>
        <v>2.8000000000000003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3"/>
    </row>
    <row r="33" spans="1:20" ht="18" x14ac:dyDescent="0.35">
      <c r="A33" s="4"/>
      <c r="B33" s="4"/>
      <c r="C33" s="4"/>
      <c r="D33" s="4"/>
      <c r="E33" s="12">
        <f t="shared" si="9"/>
        <v>10.4</v>
      </c>
      <c r="F33" s="12">
        <f>F27</f>
        <v>21.908902300206645</v>
      </c>
      <c r="G33" s="4"/>
      <c r="H33" s="10">
        <f t="shared" si="2"/>
        <v>3.0000000000000004</v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3"/>
    </row>
    <row r="34" spans="1:20" ht="18" x14ac:dyDescent="0.35">
      <c r="A34" s="4"/>
      <c r="B34" s="4"/>
      <c r="C34" s="4"/>
      <c r="D34" s="4"/>
      <c r="E34" s="12">
        <f t="shared" si="9"/>
        <v>11.200000000000001</v>
      </c>
      <c r="F34" s="12">
        <f t="shared" si="10"/>
        <v>16.431676725154983</v>
      </c>
      <c r="G34" s="4"/>
      <c r="H34" s="10">
        <f t="shared" si="2"/>
        <v>3.2000000000000006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3"/>
    </row>
    <row r="35" spans="1:20" ht="18" x14ac:dyDescent="0.35">
      <c r="A35" s="4"/>
      <c r="B35" s="4"/>
      <c r="C35" s="4"/>
      <c r="D35" s="4"/>
      <c r="E35" s="12">
        <f t="shared" si="9"/>
        <v>12.000000000000002</v>
      </c>
      <c r="F35" s="12">
        <f t="shared" si="10"/>
        <v>10.954451150103321</v>
      </c>
      <c r="G35" s="4"/>
      <c r="H35" s="10">
        <f t="shared" si="2"/>
        <v>3.4000000000000008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3"/>
    </row>
    <row r="36" spans="1:20" ht="18" x14ac:dyDescent="0.35">
      <c r="A36" s="4"/>
      <c r="B36" s="4"/>
      <c r="C36" s="4"/>
      <c r="D36" s="4"/>
      <c r="E36" s="12">
        <f t="shared" si="9"/>
        <v>12.800000000000002</v>
      </c>
      <c r="F36" s="12">
        <f t="shared" si="10"/>
        <v>5.4772255750516585</v>
      </c>
      <c r="G36" s="4"/>
      <c r="H36" s="10">
        <f t="shared" si="2"/>
        <v>3.600000000000001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3"/>
    </row>
    <row r="37" spans="1:20" ht="18" x14ac:dyDescent="0.35">
      <c r="A37" s="4"/>
      <c r="B37" s="4"/>
      <c r="C37" s="4"/>
      <c r="D37" s="4"/>
      <c r="E37" s="12">
        <f t="shared" si="9"/>
        <v>13.600000000000003</v>
      </c>
      <c r="F37" s="12">
        <f t="shared" si="10"/>
        <v>0</v>
      </c>
      <c r="G37" s="4"/>
      <c r="H37" s="10">
        <f t="shared" si="2"/>
        <v>3.8000000000000012</v>
      </c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3"/>
    </row>
    <row r="38" spans="1:20" ht="18" x14ac:dyDescent="0.35">
      <c r="A38" s="4"/>
      <c r="B38" s="4"/>
      <c r="C38" s="4"/>
      <c r="D38" s="4"/>
      <c r="E38" s="12">
        <f t="shared" si="9"/>
        <v>14.400000000000004</v>
      </c>
      <c r="F38" s="12"/>
      <c r="G38" s="4"/>
      <c r="H38" s="10">
        <f t="shared" si="2"/>
        <v>4.0000000000000009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3"/>
    </row>
    <row r="39" spans="1:20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3"/>
    </row>
    <row r="40" spans="1:20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3"/>
    </row>
    <row r="41" spans="1:20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3"/>
    </row>
    <row r="42" spans="1:20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3"/>
    </row>
    <row r="43" spans="1:20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3"/>
    </row>
    <row r="44" spans="1:20" ht="12.75" customHeight="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</row>
  </sheetData>
  <mergeCells count="6">
    <mergeCell ref="B17:C17"/>
    <mergeCell ref="D1:Q1"/>
    <mergeCell ref="H5:J5"/>
    <mergeCell ref="H12:J12"/>
    <mergeCell ref="E17:F17"/>
    <mergeCell ref="J17:L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3</xdr:col>
                <xdr:colOff>220980</xdr:colOff>
                <xdr:row>39</xdr:row>
                <xdr:rowOff>0</xdr:rowOff>
              </from>
              <to>
                <xdr:col>6</xdr:col>
                <xdr:colOff>441960</xdr:colOff>
                <xdr:row>42</xdr:row>
                <xdr:rowOff>38100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0</xdr:col>
                <xdr:colOff>152400</xdr:colOff>
                <xdr:row>29</xdr:row>
                <xdr:rowOff>30480</xdr:rowOff>
              </from>
              <to>
                <xdr:col>2</xdr:col>
                <xdr:colOff>723900</xdr:colOff>
                <xdr:row>31</xdr:row>
                <xdr:rowOff>182880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X45"/>
  <sheetViews>
    <sheetView zoomScale="59" zoomScaleNormal="59" workbookViewId="0">
      <selection activeCell="O22" sqref="O22"/>
    </sheetView>
  </sheetViews>
  <sheetFormatPr defaultColWidth="9.109375" defaultRowHeight="14.4" x14ac:dyDescent="0.3"/>
  <cols>
    <col min="1" max="2" width="9.109375" style="1"/>
    <col min="3" max="3" width="8.109375" style="1" customWidth="1"/>
    <col min="4" max="4" width="9.109375" style="1"/>
    <col min="5" max="5" width="16.6640625" style="1" customWidth="1"/>
    <col min="6" max="6" width="13" style="1" customWidth="1"/>
    <col min="7" max="7" width="9.109375" style="1"/>
    <col min="8" max="8" width="19.44140625" style="1" customWidth="1"/>
    <col min="9" max="9" width="11.33203125" style="1" customWidth="1"/>
    <col min="10" max="10" width="19" style="1" customWidth="1"/>
    <col min="11" max="11" width="11.5546875" style="1" customWidth="1"/>
    <col min="12" max="12" width="5" style="1" customWidth="1"/>
    <col min="13" max="19" width="9.109375" style="1"/>
    <col min="20" max="20" width="2.44140625" style="1" customWidth="1"/>
    <col min="21" max="16384" width="9.109375" style="1"/>
  </cols>
  <sheetData>
    <row r="1" spans="1:24" ht="23.4" x14ac:dyDescent="0.45">
      <c r="A1" s="4"/>
      <c r="B1" s="4"/>
      <c r="C1" s="4"/>
      <c r="D1" s="5" t="s">
        <v>0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4"/>
      <c r="S1" s="4"/>
      <c r="T1" s="3"/>
    </row>
    <row r="2" spans="1:24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3"/>
    </row>
    <row r="3" spans="1:24" x14ac:dyDescent="0.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3"/>
      <c r="U3" s="2"/>
      <c r="V3" s="2"/>
      <c r="W3" s="2"/>
      <c r="X3" s="2"/>
    </row>
    <row r="4" spans="1:24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3"/>
    </row>
    <row r="5" spans="1:24" ht="18" x14ac:dyDescent="0.35">
      <c r="A5" s="4"/>
      <c r="B5" s="4"/>
      <c r="C5" s="4"/>
      <c r="D5" s="4"/>
      <c r="E5" s="4"/>
      <c r="F5" s="4"/>
      <c r="G5" s="4"/>
      <c r="H5" s="8" t="s">
        <v>2</v>
      </c>
      <c r="I5" s="8"/>
      <c r="J5" s="8"/>
      <c r="K5" s="4"/>
      <c r="L5" s="4"/>
      <c r="M5" s="4"/>
      <c r="N5" s="4"/>
      <c r="O5" s="4"/>
      <c r="P5" s="4"/>
      <c r="Q5" s="4"/>
      <c r="R5" s="4"/>
      <c r="S5" s="4"/>
      <c r="T5" s="3"/>
    </row>
    <row r="6" spans="1:24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3"/>
    </row>
    <row r="7" spans="1:24" ht="18" x14ac:dyDescent="0.35">
      <c r="A7" s="4"/>
      <c r="B7" s="4"/>
      <c r="C7" s="4"/>
      <c r="D7" s="4"/>
      <c r="E7" s="4"/>
      <c r="F7" s="4"/>
      <c r="G7" s="9" t="s">
        <v>14</v>
      </c>
      <c r="H7" s="10" t="s">
        <v>9</v>
      </c>
      <c r="I7" s="10" t="s">
        <v>1</v>
      </c>
      <c r="J7" s="11" t="s">
        <v>18</v>
      </c>
      <c r="K7" s="4"/>
      <c r="L7" s="4"/>
      <c r="M7" s="4"/>
      <c r="N7" s="4"/>
      <c r="O7" s="4"/>
      <c r="P7" s="4"/>
      <c r="Q7" s="4"/>
      <c r="R7" s="4"/>
      <c r="S7" s="4"/>
      <c r="T7" s="3"/>
    </row>
    <row r="8" spans="1:24" ht="18" x14ac:dyDescent="0.35">
      <c r="A8" s="4"/>
      <c r="B8" s="4"/>
      <c r="C8" s="4"/>
      <c r="D8" s="4"/>
      <c r="E8" s="4"/>
      <c r="F8" s="4"/>
      <c r="G8" s="9" t="s">
        <v>14</v>
      </c>
      <c r="H8" s="12">
        <v>1500</v>
      </c>
      <c r="I8" s="12">
        <v>2400</v>
      </c>
      <c r="J8" s="12">
        <v>300</v>
      </c>
      <c r="K8" s="4"/>
      <c r="L8" s="4"/>
      <c r="M8" s="4"/>
      <c r="N8" s="4"/>
      <c r="O8" s="4"/>
      <c r="P8" s="4"/>
      <c r="Q8" s="4"/>
      <c r="R8" s="4"/>
      <c r="S8" s="4"/>
      <c r="T8" s="3"/>
    </row>
    <row r="9" spans="1:24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3"/>
    </row>
    <row r="10" spans="1:24" ht="12" customHeight="1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3"/>
    </row>
    <row r="11" spans="1:24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3"/>
    </row>
    <row r="12" spans="1:24" ht="15.6" x14ac:dyDescent="0.3">
      <c r="A12" s="4"/>
      <c r="B12" s="4"/>
      <c r="C12" s="4"/>
      <c r="D12" s="4"/>
      <c r="E12" s="4"/>
      <c r="F12" s="4"/>
      <c r="G12" s="4"/>
      <c r="H12" s="14" t="s">
        <v>3</v>
      </c>
      <c r="I12" s="14"/>
      <c r="J12" s="14"/>
      <c r="K12" s="4"/>
      <c r="L12" s="4"/>
      <c r="M12" s="4"/>
      <c r="N12" s="4"/>
      <c r="O12" s="4"/>
      <c r="P12" s="4"/>
      <c r="Q12" s="4"/>
      <c r="R12" s="4"/>
      <c r="S12" s="4"/>
      <c r="T12" s="3"/>
    </row>
    <row r="13" spans="1:24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3"/>
    </row>
    <row r="14" spans="1:24" ht="18" x14ac:dyDescent="0.35">
      <c r="A14" s="4"/>
      <c r="B14" s="4"/>
      <c r="C14" s="4"/>
      <c r="D14" s="4"/>
      <c r="E14" s="4"/>
      <c r="F14" s="4"/>
      <c r="G14" s="10" t="s">
        <v>4</v>
      </c>
      <c r="H14" s="15" t="s">
        <v>5</v>
      </c>
      <c r="I14" s="12" t="s">
        <v>19</v>
      </c>
      <c r="J14" s="12" t="s">
        <v>20</v>
      </c>
      <c r="K14" s="4"/>
      <c r="L14" s="4"/>
      <c r="M14" s="4"/>
      <c r="N14" s="4"/>
      <c r="O14" s="4"/>
      <c r="P14" s="4"/>
      <c r="Q14" s="4"/>
      <c r="R14" s="4"/>
      <c r="S14" s="4"/>
      <c r="T14" s="3"/>
    </row>
    <row r="15" spans="1:24" ht="18" x14ac:dyDescent="0.35">
      <c r="A15" s="4"/>
      <c r="B15" s="4"/>
      <c r="C15" s="4"/>
      <c r="D15" s="4"/>
      <c r="E15" s="4"/>
      <c r="F15" s="4"/>
      <c r="G15" s="12">
        <f xml:space="preserve"> SQRT(2*H8*I8/J8)</f>
        <v>154.91933384829667</v>
      </c>
      <c r="H15" s="12">
        <f>2*H8*I8*J8</f>
        <v>2160000000</v>
      </c>
      <c r="I15" s="12">
        <f>I8/J8</f>
        <v>8</v>
      </c>
      <c r="J15" s="12">
        <f>1/I15</f>
        <v>0.125</v>
      </c>
      <c r="K15" s="4"/>
      <c r="L15" s="4"/>
      <c r="M15" s="4"/>
      <c r="N15" s="4"/>
      <c r="O15" s="4"/>
      <c r="P15" s="4"/>
      <c r="Q15" s="4"/>
      <c r="R15" s="4"/>
      <c r="S15" s="4"/>
      <c r="T15" s="3"/>
    </row>
    <row r="16" spans="1:24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3"/>
    </row>
    <row r="17" spans="1:20" ht="18" x14ac:dyDescent="0.35">
      <c r="A17" s="12" t="s">
        <v>6</v>
      </c>
      <c r="B17" s="16" t="s">
        <v>10</v>
      </c>
      <c r="C17" s="17"/>
      <c r="D17" s="4"/>
      <c r="E17" s="16" t="s">
        <v>13</v>
      </c>
      <c r="F17" s="17"/>
      <c r="G17" s="4"/>
      <c r="H17" s="15" t="s">
        <v>12</v>
      </c>
      <c r="I17" s="4"/>
      <c r="J17" s="16" t="s">
        <v>15</v>
      </c>
      <c r="K17" s="18"/>
      <c r="L17" s="19"/>
      <c r="M17" s="4"/>
      <c r="N17" s="4"/>
      <c r="O17" s="4"/>
      <c r="P17" s="4"/>
      <c r="Q17" s="4"/>
      <c r="R17" s="4"/>
      <c r="S17" s="4"/>
      <c r="T17" s="3"/>
    </row>
    <row r="18" spans="1:20" ht="18" x14ac:dyDescent="0.35">
      <c r="A18" s="12">
        <v>0.1</v>
      </c>
      <c r="B18" s="11" t="s">
        <v>7</v>
      </c>
      <c r="C18" s="11" t="s">
        <v>8</v>
      </c>
      <c r="D18" s="4"/>
      <c r="E18" s="11" t="s">
        <v>11</v>
      </c>
      <c r="F18" s="11" t="s">
        <v>7</v>
      </c>
      <c r="G18" s="4"/>
      <c r="H18" s="10">
        <v>0</v>
      </c>
      <c r="I18" s="4"/>
      <c r="J18" s="15" t="s">
        <v>16</v>
      </c>
      <c r="K18" s="15" t="s">
        <v>8</v>
      </c>
      <c r="L18" s="15" t="s">
        <v>17</v>
      </c>
      <c r="M18" s="4"/>
      <c r="N18" s="4"/>
      <c r="O18" s="4"/>
      <c r="P18" s="4"/>
      <c r="Q18" s="4"/>
      <c r="R18" s="4"/>
      <c r="S18" s="4"/>
      <c r="T18" s="3"/>
    </row>
    <row r="19" spans="1:20" ht="18" x14ac:dyDescent="0.35">
      <c r="A19" s="12">
        <f>$A$18+0.2</f>
        <v>0.30000000000000004</v>
      </c>
      <c r="B19" s="12">
        <f t="shared" ref="B19:B28" si="0">$G$15*A18</f>
        <v>15.491933384829668</v>
      </c>
      <c r="C19" s="12">
        <f t="shared" ref="C19:C28" si="1">(($H$8*$I$8)/B19+($J$8*B19)/2)</f>
        <v>234702.79078016945</v>
      </c>
      <c r="D19" s="4"/>
      <c r="E19" s="12">
        <v>0</v>
      </c>
      <c r="F19" s="12">
        <v>0</v>
      </c>
      <c r="G19" s="4"/>
      <c r="H19" s="10">
        <f>$H18+0.2</f>
        <v>0.2</v>
      </c>
      <c r="I19" s="4"/>
      <c r="J19" s="10">
        <f>B19+0.5*J20</f>
        <v>92.255673613956361</v>
      </c>
      <c r="K19" s="10">
        <f>$H$8*$I$8/J19+$J$8*J19/2</f>
        <v>52860.341332513868</v>
      </c>
      <c r="L19" s="10">
        <f>K19/$H$15</f>
        <v>2.4472380246534199E-5</v>
      </c>
      <c r="M19" s="4"/>
      <c r="N19" s="4"/>
      <c r="O19" s="4"/>
      <c r="P19" s="4"/>
      <c r="Q19" s="4"/>
      <c r="R19" s="4"/>
      <c r="S19" s="4"/>
      <c r="T19" s="3"/>
    </row>
    <row r="20" spans="1:20" ht="18" x14ac:dyDescent="0.35">
      <c r="A20" s="12">
        <f>$A19+0.2</f>
        <v>0.5</v>
      </c>
      <c r="B20" s="12">
        <f t="shared" si="0"/>
        <v>46.475800154489008</v>
      </c>
      <c r="C20" s="12">
        <f t="shared" si="1"/>
        <v>84431.036947321685</v>
      </c>
      <c r="D20" s="4"/>
      <c r="E20" s="12">
        <v>0</v>
      </c>
      <c r="F20" s="12">
        <f>$G$15-$G$15*H18</f>
        <v>154.91933384829667</v>
      </c>
      <c r="G20" s="4"/>
      <c r="H20" s="10">
        <f t="shared" ref="H20:H38" si="2">$H19+0.2</f>
        <v>0.4</v>
      </c>
      <c r="I20" s="4"/>
      <c r="J20" s="10">
        <f t="shared" ref="J20:J27" si="3">B20+0.5*J21</f>
        <v>153.52748045825339</v>
      </c>
      <c r="K20" s="10">
        <f t="shared" ref="K20:K28" si="4">$H$8*$I$8/J20+$J$8*J20/2</f>
        <v>46477.692899540503</v>
      </c>
      <c r="L20" s="10">
        <f t="shared" ref="L20:L28" si="5">K20/$H$15</f>
        <v>2.1517450416453935E-5</v>
      </c>
      <c r="M20" s="4"/>
      <c r="N20" s="4"/>
      <c r="O20" s="4"/>
      <c r="P20" s="4"/>
      <c r="Q20" s="4"/>
      <c r="R20" s="4"/>
      <c r="S20" s="4"/>
      <c r="T20" s="3"/>
    </row>
    <row r="21" spans="1:20" ht="18" x14ac:dyDescent="0.35">
      <c r="A21" s="12">
        <f t="shared" ref="A21:A28" si="6">$A20+0.2</f>
        <v>0.7</v>
      </c>
      <c r="B21" s="12">
        <f t="shared" si="0"/>
        <v>77.459666924148337</v>
      </c>
      <c r="C21" s="12">
        <f t="shared" si="1"/>
        <v>58094.750193111257</v>
      </c>
      <c r="D21" s="4"/>
      <c r="E21" s="12">
        <f>$J$15*H19</f>
        <v>2.5000000000000001E-2</v>
      </c>
      <c r="F21" s="12">
        <f t="shared" ref="F21:F25" si="7">$G$15-$G$15*H19</f>
        <v>123.93546707863734</v>
      </c>
      <c r="G21" s="4"/>
      <c r="H21" s="10">
        <f t="shared" si="2"/>
        <v>0.60000000000000009</v>
      </c>
      <c r="I21" s="4"/>
      <c r="J21" s="10">
        <f t="shared" si="3"/>
        <v>214.10336060752877</v>
      </c>
      <c r="K21" s="10">
        <f t="shared" si="4"/>
        <v>48929.812795975537</v>
      </c>
      <c r="L21" s="10">
        <f t="shared" si="5"/>
        <v>2.2652691109247934E-5</v>
      </c>
      <c r="M21" s="4"/>
      <c r="N21" s="4"/>
      <c r="O21" s="4"/>
      <c r="P21" s="4"/>
      <c r="Q21" s="4"/>
      <c r="R21" s="4"/>
      <c r="S21" s="4"/>
      <c r="T21" s="3"/>
    </row>
    <row r="22" spans="1:20" ht="18" x14ac:dyDescent="0.35">
      <c r="A22" s="12">
        <f t="shared" si="6"/>
        <v>0.89999999999999991</v>
      </c>
      <c r="B22" s="12">
        <f t="shared" si="0"/>
        <v>108.44353369380767</v>
      </c>
      <c r="C22" s="12">
        <f t="shared" si="1"/>
        <v>49463.530164420445</v>
      </c>
      <c r="D22" s="4"/>
      <c r="E22" s="12">
        <f t="shared" ref="E22:E37" si="8">$J$15*H20</f>
        <v>0.05</v>
      </c>
      <c r="F22" s="12">
        <f t="shared" si="7"/>
        <v>92.951600308978001</v>
      </c>
      <c r="G22" s="4"/>
      <c r="H22" s="10">
        <f t="shared" si="2"/>
        <v>0.8</v>
      </c>
      <c r="I22" s="4"/>
      <c r="J22" s="10">
        <f t="shared" si="3"/>
        <v>273.28738736676087</v>
      </c>
      <c r="K22" s="10">
        <f t="shared" si="4"/>
        <v>54166.054118686829</v>
      </c>
      <c r="L22" s="10">
        <f t="shared" si="5"/>
        <v>2.5076876906799458E-5</v>
      </c>
      <c r="M22" s="4"/>
      <c r="N22" s="4"/>
      <c r="O22" s="4"/>
      <c r="P22" s="4"/>
      <c r="Q22" s="4"/>
      <c r="R22" s="4"/>
      <c r="S22" s="4"/>
      <c r="T22" s="3"/>
    </row>
    <row r="23" spans="1:20" ht="18" x14ac:dyDescent="0.35">
      <c r="A23" s="12">
        <f t="shared" si="6"/>
        <v>1.0999999999999999</v>
      </c>
      <c r="B23" s="12">
        <f t="shared" si="0"/>
        <v>139.427400463467</v>
      </c>
      <c r="C23" s="12">
        <f t="shared" si="1"/>
        <v>46733.99904423616</v>
      </c>
      <c r="D23" s="4"/>
      <c r="E23" s="12">
        <f t="shared" si="8"/>
        <v>7.5000000000000011E-2</v>
      </c>
      <c r="F23" s="12">
        <f t="shared" si="7"/>
        <v>61.967733539318658</v>
      </c>
      <c r="G23" s="4"/>
      <c r="H23" s="10">
        <f t="shared" si="2"/>
        <v>1</v>
      </c>
      <c r="I23" s="4"/>
      <c r="J23" s="10">
        <f t="shared" si="3"/>
        <v>329.68770734590635</v>
      </c>
      <c r="K23" s="10">
        <f t="shared" si="4"/>
        <v>60372.580514100693</v>
      </c>
      <c r="L23" s="10">
        <f t="shared" si="5"/>
        <v>2.7950268756528098E-5</v>
      </c>
      <c r="M23" s="4"/>
      <c r="N23" s="4"/>
      <c r="O23" s="4"/>
      <c r="P23" s="4"/>
      <c r="Q23" s="4"/>
      <c r="R23" s="4"/>
      <c r="S23" s="4"/>
      <c r="T23" s="3"/>
    </row>
    <row r="24" spans="1:20" ht="18" x14ac:dyDescent="0.35">
      <c r="A24" s="12">
        <f t="shared" si="6"/>
        <v>1.2999999999999998</v>
      </c>
      <c r="B24" s="12">
        <f t="shared" si="0"/>
        <v>170.41126723312632</v>
      </c>
      <c r="C24" s="12">
        <f t="shared" si="1"/>
        <v>46687.053791554863</v>
      </c>
      <c r="D24" s="4"/>
      <c r="E24" s="12">
        <f t="shared" si="8"/>
        <v>0.1</v>
      </c>
      <c r="F24" s="12">
        <f t="shared" si="7"/>
        <v>30.983866769659329</v>
      </c>
      <c r="G24" s="4"/>
      <c r="H24" s="10">
        <f t="shared" si="2"/>
        <v>1.2</v>
      </c>
      <c r="I24" s="4"/>
      <c r="J24" s="10">
        <f t="shared" si="3"/>
        <v>380.5206137648787</v>
      </c>
      <c r="K24" s="10">
        <f t="shared" si="4"/>
        <v>66538.814742490387</v>
      </c>
      <c r="L24" s="10">
        <f t="shared" si="5"/>
        <v>3.080500682522703E-5</v>
      </c>
      <c r="M24" s="4"/>
      <c r="N24" s="4"/>
      <c r="O24" s="4"/>
      <c r="P24" s="4"/>
      <c r="Q24" s="4"/>
      <c r="R24" s="4"/>
      <c r="S24" s="4"/>
      <c r="T24" s="3"/>
    </row>
    <row r="25" spans="1:20" ht="18" x14ac:dyDescent="0.35">
      <c r="A25" s="12">
        <f t="shared" si="6"/>
        <v>1.4999999999999998</v>
      </c>
      <c r="B25" s="12">
        <f t="shared" si="0"/>
        <v>201.39513400278565</v>
      </c>
      <c r="C25" s="12">
        <f t="shared" si="1"/>
        <v>48084.577852144386</v>
      </c>
      <c r="D25" s="4"/>
      <c r="E25" s="12">
        <f t="shared" si="8"/>
        <v>0.125</v>
      </c>
      <c r="F25" s="12">
        <f t="shared" si="7"/>
        <v>0</v>
      </c>
      <c r="G25" s="4"/>
      <c r="H25" s="10">
        <f t="shared" si="2"/>
        <v>1.4</v>
      </c>
      <c r="I25" s="4"/>
      <c r="J25" s="10">
        <f t="shared" si="3"/>
        <v>420.2186930635047</v>
      </c>
      <c r="K25" s="10">
        <f t="shared" si="4"/>
        <v>71599.771729938424</v>
      </c>
      <c r="L25" s="10">
        <f t="shared" si="5"/>
        <v>3.3148042467564088E-5</v>
      </c>
      <c r="M25" s="4"/>
      <c r="N25" s="4"/>
      <c r="O25" s="4"/>
      <c r="P25" s="4"/>
      <c r="Q25" s="4"/>
      <c r="R25" s="4"/>
      <c r="S25" s="4"/>
      <c r="T25" s="3"/>
    </row>
    <row r="26" spans="1:20" ht="18" x14ac:dyDescent="0.35">
      <c r="A26" s="12">
        <f t="shared" si="6"/>
        <v>1.6999999999999997</v>
      </c>
      <c r="B26" s="12">
        <f t="shared" si="0"/>
        <v>232.37900077244498</v>
      </c>
      <c r="C26" s="12">
        <f t="shared" si="1"/>
        <v>50348.783500696416</v>
      </c>
      <c r="D26" s="4"/>
      <c r="E26" s="12">
        <f t="shared" si="8"/>
        <v>0.15</v>
      </c>
      <c r="F26" s="12">
        <f>F20</f>
        <v>154.91933384829667</v>
      </c>
      <c r="G26" s="4"/>
      <c r="H26" s="10">
        <f t="shared" si="2"/>
        <v>1.5999999999999999</v>
      </c>
      <c r="I26" s="4"/>
      <c r="J26" s="10">
        <f t="shared" si="3"/>
        <v>437.64711812143804</v>
      </c>
      <c r="K26" s="10">
        <f t="shared" si="4"/>
        <v>73872.873055293414</v>
      </c>
      <c r="L26" s="10">
        <f t="shared" si="5"/>
        <v>3.4200404192265471E-5</v>
      </c>
      <c r="M26" s="4"/>
      <c r="N26" s="4"/>
      <c r="O26" s="4"/>
      <c r="P26" s="4"/>
      <c r="Q26" s="4"/>
      <c r="R26" s="4"/>
      <c r="S26" s="4"/>
      <c r="T26" s="3"/>
    </row>
    <row r="27" spans="1:20" ht="18" x14ac:dyDescent="0.35">
      <c r="A27" s="12">
        <f t="shared" si="6"/>
        <v>1.8999999999999997</v>
      </c>
      <c r="B27" s="12">
        <f t="shared" si="0"/>
        <v>263.36286754210431</v>
      </c>
      <c r="C27" s="12">
        <f t="shared" si="1"/>
        <v>53173.783117930063</v>
      </c>
      <c r="D27" s="4"/>
      <c r="E27" s="12">
        <f t="shared" si="8"/>
        <v>0.17499999999999999</v>
      </c>
      <c r="F27" s="12">
        <f t="shared" ref="F27:F37" si="9">F21</f>
        <v>123.93546707863734</v>
      </c>
      <c r="G27" s="4"/>
      <c r="H27" s="10">
        <f t="shared" si="2"/>
        <v>1.7999999999999998</v>
      </c>
      <c r="I27" s="4"/>
      <c r="J27" s="10">
        <f t="shared" si="3"/>
        <v>410.53623469798612</v>
      </c>
      <c r="K27" s="10">
        <f t="shared" si="4"/>
        <v>70349.45410177132</v>
      </c>
      <c r="L27" s="10">
        <f t="shared" si="5"/>
        <v>3.2569191713783018E-5</v>
      </c>
      <c r="M27" s="4"/>
      <c r="N27" s="4"/>
      <c r="O27" s="4"/>
      <c r="P27" s="4"/>
      <c r="Q27" s="4"/>
      <c r="R27" s="4"/>
      <c r="S27" s="4"/>
      <c r="T27" s="3"/>
    </row>
    <row r="28" spans="1:20" ht="18" x14ac:dyDescent="0.35">
      <c r="A28" s="12">
        <f t="shared" si="6"/>
        <v>2.0999999999999996</v>
      </c>
      <c r="B28" s="12">
        <f t="shared" si="0"/>
        <v>294.34673431176361</v>
      </c>
      <c r="C28" s="12">
        <f t="shared" si="1"/>
        <v>56382.483871630073</v>
      </c>
      <c r="D28" s="4"/>
      <c r="E28" s="12">
        <f t="shared" si="8"/>
        <v>0.19999999999999998</v>
      </c>
      <c r="F28" s="12">
        <f t="shared" si="9"/>
        <v>92.951600308978001</v>
      </c>
      <c r="G28" s="4"/>
      <c r="H28" s="10">
        <f t="shared" si="2"/>
        <v>1.9999999999999998</v>
      </c>
      <c r="I28" s="4"/>
      <c r="J28" s="10">
        <f>B28+0.5*J29</f>
        <v>294.34673431176361</v>
      </c>
      <c r="K28" s="10">
        <f t="shared" si="4"/>
        <v>56382.483871630073</v>
      </c>
      <c r="L28" s="10">
        <f t="shared" si="5"/>
        <v>2.6103001792421331E-5</v>
      </c>
      <c r="M28" s="4"/>
      <c r="N28" s="4"/>
      <c r="O28" s="4"/>
      <c r="P28" s="4"/>
      <c r="Q28" s="4"/>
      <c r="R28" s="4"/>
      <c r="S28" s="4"/>
      <c r="T28" s="3"/>
    </row>
    <row r="29" spans="1:20" ht="18" x14ac:dyDescent="0.35">
      <c r="A29" s="4"/>
      <c r="B29" s="4"/>
      <c r="C29" s="4"/>
      <c r="D29" s="4"/>
      <c r="E29" s="12">
        <f t="shared" si="8"/>
        <v>0.22499999999999998</v>
      </c>
      <c r="F29" s="12">
        <f t="shared" si="9"/>
        <v>61.967733539318658</v>
      </c>
      <c r="G29" s="4"/>
      <c r="H29" s="10">
        <f t="shared" si="2"/>
        <v>2.1999999999999997</v>
      </c>
      <c r="I29" s="4"/>
      <c r="J29" s="9"/>
      <c r="K29" s="9"/>
      <c r="L29" s="9"/>
      <c r="M29" s="4"/>
      <c r="N29" s="4"/>
      <c r="O29" s="4"/>
      <c r="P29" s="4"/>
      <c r="Q29" s="4"/>
      <c r="R29" s="4"/>
      <c r="S29" s="4"/>
      <c r="T29" s="3"/>
    </row>
    <row r="30" spans="1:20" ht="18" x14ac:dyDescent="0.35">
      <c r="A30" s="4"/>
      <c r="B30" s="4"/>
      <c r="C30" s="4"/>
      <c r="D30" s="4"/>
      <c r="E30" s="12">
        <f t="shared" si="8"/>
        <v>0.24999999999999997</v>
      </c>
      <c r="F30" s="12">
        <f t="shared" si="9"/>
        <v>30.983866769659329</v>
      </c>
      <c r="G30" s="4"/>
      <c r="H30" s="10">
        <f t="shared" si="2"/>
        <v>2.4</v>
      </c>
      <c r="I30" s="4"/>
      <c r="J30" s="9"/>
      <c r="K30" s="9"/>
      <c r="L30" s="9"/>
      <c r="M30" s="4"/>
      <c r="N30" s="4"/>
      <c r="O30" s="4"/>
      <c r="P30" s="4"/>
      <c r="Q30" s="4"/>
      <c r="R30" s="4"/>
      <c r="S30" s="4"/>
      <c r="T30" s="3"/>
    </row>
    <row r="31" spans="1:20" ht="18" x14ac:dyDescent="0.35">
      <c r="A31" s="4"/>
      <c r="B31" s="4"/>
      <c r="C31" s="4"/>
      <c r="D31" s="4"/>
      <c r="E31" s="12">
        <f t="shared" si="8"/>
        <v>0.27499999999999997</v>
      </c>
      <c r="F31" s="12">
        <f t="shared" si="9"/>
        <v>0</v>
      </c>
      <c r="G31" s="4"/>
      <c r="H31" s="10">
        <f t="shared" si="2"/>
        <v>2.6</v>
      </c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3"/>
    </row>
    <row r="32" spans="1:20" ht="18" x14ac:dyDescent="0.35">
      <c r="A32" s="4"/>
      <c r="B32" s="4"/>
      <c r="C32" s="4"/>
      <c r="D32" s="4"/>
      <c r="E32" s="12">
        <f t="shared" si="8"/>
        <v>0.3</v>
      </c>
      <c r="F32" s="12">
        <f t="shared" si="9"/>
        <v>154.91933384829667</v>
      </c>
      <c r="G32" s="4"/>
      <c r="H32" s="10">
        <f t="shared" si="2"/>
        <v>2.8000000000000003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3"/>
    </row>
    <row r="33" spans="1:20" ht="18" x14ac:dyDescent="0.35">
      <c r="A33" s="4"/>
      <c r="B33" s="4"/>
      <c r="C33" s="4"/>
      <c r="D33" s="4"/>
      <c r="E33" s="12">
        <f t="shared" si="8"/>
        <v>0.32500000000000001</v>
      </c>
      <c r="F33" s="12">
        <f t="shared" si="9"/>
        <v>123.93546707863734</v>
      </c>
      <c r="G33" s="4"/>
      <c r="H33" s="10">
        <f t="shared" si="2"/>
        <v>3.0000000000000004</v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3"/>
    </row>
    <row r="34" spans="1:20" ht="18" x14ac:dyDescent="0.35">
      <c r="A34" s="4"/>
      <c r="B34" s="4"/>
      <c r="C34" s="4"/>
      <c r="D34" s="4"/>
      <c r="E34" s="12">
        <f t="shared" si="8"/>
        <v>0.35000000000000003</v>
      </c>
      <c r="F34" s="12">
        <f t="shared" si="9"/>
        <v>92.951600308978001</v>
      </c>
      <c r="G34" s="4"/>
      <c r="H34" s="10">
        <f t="shared" si="2"/>
        <v>3.2000000000000006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3"/>
    </row>
    <row r="35" spans="1:20" ht="18" x14ac:dyDescent="0.35">
      <c r="A35" s="4"/>
      <c r="B35" s="4"/>
      <c r="C35" s="4"/>
      <c r="D35" s="4"/>
      <c r="E35" s="12">
        <f t="shared" si="8"/>
        <v>0.37500000000000006</v>
      </c>
      <c r="F35" s="12">
        <f t="shared" si="9"/>
        <v>61.967733539318658</v>
      </c>
      <c r="G35" s="4"/>
      <c r="H35" s="10">
        <f t="shared" si="2"/>
        <v>3.4000000000000008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3"/>
    </row>
    <row r="36" spans="1:20" ht="18" x14ac:dyDescent="0.35">
      <c r="A36" s="4"/>
      <c r="B36" s="4"/>
      <c r="C36" s="4"/>
      <c r="D36" s="4"/>
      <c r="E36" s="12">
        <f t="shared" si="8"/>
        <v>0.40000000000000008</v>
      </c>
      <c r="F36" s="12">
        <f t="shared" si="9"/>
        <v>30.983866769659329</v>
      </c>
      <c r="G36" s="4"/>
      <c r="H36" s="10">
        <f t="shared" si="2"/>
        <v>3.600000000000001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3"/>
    </row>
    <row r="37" spans="1:20" ht="18" x14ac:dyDescent="0.35">
      <c r="A37" s="4"/>
      <c r="B37" s="4"/>
      <c r="C37" s="4"/>
      <c r="D37" s="4"/>
      <c r="E37" s="12">
        <f t="shared" si="8"/>
        <v>0.4250000000000001</v>
      </c>
      <c r="F37" s="12">
        <f t="shared" si="9"/>
        <v>0</v>
      </c>
      <c r="G37" s="4"/>
      <c r="H37" s="10">
        <f t="shared" si="2"/>
        <v>3.8000000000000012</v>
      </c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3"/>
    </row>
    <row r="38" spans="1:20" ht="18" x14ac:dyDescent="0.35">
      <c r="A38" s="4"/>
      <c r="B38" s="4"/>
      <c r="C38" s="4"/>
      <c r="D38" s="4"/>
      <c r="E38" s="12"/>
      <c r="F38" s="12"/>
      <c r="G38" s="4"/>
      <c r="H38" s="10">
        <f t="shared" si="2"/>
        <v>4.0000000000000009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3"/>
    </row>
    <row r="39" spans="1:20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3"/>
    </row>
    <row r="40" spans="1:20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3"/>
    </row>
    <row r="41" spans="1:20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3"/>
    </row>
    <row r="42" spans="1:20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3"/>
    </row>
    <row r="43" spans="1:20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3"/>
    </row>
    <row r="44" spans="1:20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3"/>
    </row>
    <row r="45" spans="1:20" ht="11.25" customHeight="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</row>
  </sheetData>
  <mergeCells count="6">
    <mergeCell ref="D1:Q1"/>
    <mergeCell ref="H5:J5"/>
    <mergeCell ref="H12:J12"/>
    <mergeCell ref="B17:C17"/>
    <mergeCell ref="E17:F17"/>
    <mergeCell ref="J17:L17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r:id="rId5">
            <anchor moveWithCells="1">
              <from>
                <xdr:col>3</xdr:col>
                <xdr:colOff>274320</xdr:colOff>
                <xdr:row>39</xdr:row>
                <xdr:rowOff>0</xdr:rowOff>
              </from>
              <to>
                <xdr:col>6</xdr:col>
                <xdr:colOff>297180</xdr:colOff>
                <xdr:row>42</xdr:row>
                <xdr:rowOff>60960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r:id="rId7">
            <anchor moveWithCells="1">
              <from>
                <xdr:col>0</xdr:col>
                <xdr:colOff>76200</xdr:colOff>
                <xdr:row>29</xdr:row>
                <xdr:rowOff>152400</xdr:rowOff>
              </from>
              <to>
                <xdr:col>3</xdr:col>
                <xdr:colOff>91440</xdr:colOff>
                <xdr:row>32</xdr:row>
                <xdr:rowOff>76200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2</vt:i4>
      </vt:variant>
    </vt:vector>
  </HeadingPairs>
  <TitlesOfParts>
    <vt:vector size="5" baseType="lpstr">
      <vt:lpstr>Первая задача</vt:lpstr>
      <vt:lpstr>H=1200</vt:lpstr>
      <vt:lpstr>D=2400</vt:lpstr>
      <vt:lpstr>Диаграмма1</vt:lpstr>
      <vt:lpstr>Диаграмма2</vt:lpstr>
    </vt:vector>
  </TitlesOfParts>
  <Company>diakov.net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mron</cp:lastModifiedBy>
  <dcterms:created xsi:type="dcterms:W3CDTF">2016-02-06T16:19:15Z</dcterms:created>
  <dcterms:modified xsi:type="dcterms:W3CDTF">2017-03-15T10:29:52Z</dcterms:modified>
</cp:coreProperties>
</file>