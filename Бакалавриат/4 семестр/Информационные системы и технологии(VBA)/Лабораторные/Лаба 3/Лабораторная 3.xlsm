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night\Desktop\Учеба!\4 семестр\ИСИТ 4 семестр\Лабораторные\Лаба 3\"/>
    </mc:Choice>
  </mc:AlternateContent>
  <bookViews>
    <workbookView xWindow="240" yWindow="60" windowWidth="20112" windowHeight="8016" firstSheet="2" activeTab="2"/>
  </bookViews>
  <sheets>
    <sheet name="Диаграмма1" sheetId="4" state="hidden" r:id="rId1"/>
    <sheet name="Диаграмма2" sheetId="5" state="hidden" r:id="rId2"/>
    <sheet name="Основная задача" sheetId="1" r:id="rId3"/>
    <sheet name="p=10d" sheetId="2" r:id="rId4"/>
    <sheet name="p=d" sheetId="3" r:id="rId5"/>
  </sheets>
  <calcPr calcId="152511"/>
</workbook>
</file>

<file path=xl/calcChain.xml><?xml version="1.0" encoding="utf-8"?>
<calcChain xmlns="http://schemas.openxmlformats.org/spreadsheetml/2006/main">
  <c r="O17" i="2" l="1"/>
  <c r="O18" i="2" s="1"/>
  <c r="B17" i="2"/>
  <c r="B18" i="2" s="1"/>
  <c r="H13" i="2"/>
  <c r="M13" i="2" s="1"/>
  <c r="O17" i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H13" i="1"/>
  <c r="J13" i="2" l="1"/>
  <c r="K13" i="2" s="1"/>
  <c r="C19" i="1"/>
  <c r="D19" i="1" s="1"/>
  <c r="C19" i="2"/>
  <c r="D19" i="2" s="1"/>
  <c r="B19" i="2"/>
  <c r="B20" i="2" s="1"/>
  <c r="M13" i="1"/>
  <c r="C26" i="1"/>
  <c r="D26" i="1" s="1"/>
  <c r="C22" i="1"/>
  <c r="D22" i="1" s="1"/>
  <c r="C18" i="1"/>
  <c r="D18" i="1" s="1"/>
  <c r="J13" i="1"/>
  <c r="K13" i="1" s="1"/>
  <c r="C25" i="1"/>
  <c r="D25" i="1" s="1"/>
  <c r="I13" i="1"/>
  <c r="C21" i="1"/>
  <c r="D21" i="1" s="1"/>
  <c r="C24" i="1"/>
  <c r="D24" i="1" s="1"/>
  <c r="C20" i="1"/>
  <c r="D20" i="1" s="1"/>
  <c r="L13" i="1"/>
  <c r="P49" i="1" s="1"/>
  <c r="C17" i="1"/>
  <c r="D17" i="1" s="1"/>
  <c r="C23" i="1"/>
  <c r="D23" i="1" s="1"/>
  <c r="C17" i="2"/>
  <c r="D17" i="2" s="1"/>
  <c r="C18" i="2"/>
  <c r="D18" i="2" s="1"/>
  <c r="O19" i="2"/>
  <c r="C21" i="2"/>
  <c r="D21" i="2" s="1"/>
  <c r="B21" i="2"/>
  <c r="L13" i="2"/>
  <c r="P17" i="2" s="1"/>
  <c r="Q17" i="2" s="1"/>
  <c r="Q28" i="2" s="1"/>
  <c r="Q39" i="2" s="1"/>
  <c r="Q50" i="2" s="1"/>
  <c r="I13" i="2"/>
  <c r="C20" i="2" l="1"/>
  <c r="D20" i="2" s="1"/>
  <c r="P19" i="2"/>
  <c r="Q19" i="2" s="1"/>
  <c r="Q30" i="2" s="1"/>
  <c r="Q41" i="2" s="1"/>
  <c r="P48" i="1"/>
  <c r="P36" i="1"/>
  <c r="P40" i="1"/>
  <c r="P44" i="1"/>
  <c r="P21" i="1"/>
  <c r="Q21" i="1" s="1"/>
  <c r="Q32" i="1" s="1"/>
  <c r="Q43" i="1" s="1"/>
  <c r="P25" i="1"/>
  <c r="Q25" i="1" s="1"/>
  <c r="Q36" i="1" s="1"/>
  <c r="Q47" i="1" s="1"/>
  <c r="P29" i="1"/>
  <c r="P33" i="1"/>
  <c r="P50" i="1"/>
  <c r="P37" i="1"/>
  <c r="P41" i="1"/>
  <c r="P45" i="1"/>
  <c r="P18" i="1"/>
  <c r="Q18" i="1" s="1"/>
  <c r="Q29" i="1" s="1"/>
  <c r="Q40" i="1" s="1"/>
  <c r="P22" i="1"/>
  <c r="Q22" i="1" s="1"/>
  <c r="Q33" i="1" s="1"/>
  <c r="Q44" i="1" s="1"/>
  <c r="P26" i="1"/>
  <c r="Q26" i="1" s="1"/>
  <c r="Q37" i="1" s="1"/>
  <c r="Q48" i="1" s="1"/>
  <c r="P30" i="1"/>
  <c r="P17" i="1"/>
  <c r="Q17" i="1" s="1"/>
  <c r="Q28" i="1" s="1"/>
  <c r="Q39" i="1" s="1"/>
  <c r="Q50" i="1" s="1"/>
  <c r="P19" i="1"/>
  <c r="Q19" i="1" s="1"/>
  <c r="Q30" i="1" s="1"/>
  <c r="Q41" i="1" s="1"/>
  <c r="P27" i="1"/>
  <c r="Q27" i="1" s="1"/>
  <c r="Q38" i="1" s="1"/>
  <c r="Q49" i="1" s="1"/>
  <c r="P34" i="1"/>
  <c r="P38" i="1"/>
  <c r="P42" i="1"/>
  <c r="P46" i="1"/>
  <c r="P23" i="1"/>
  <c r="Q23" i="1" s="1"/>
  <c r="Q34" i="1" s="1"/>
  <c r="Q45" i="1" s="1"/>
  <c r="P31" i="1"/>
  <c r="P35" i="1"/>
  <c r="P39" i="1"/>
  <c r="P43" i="1"/>
  <c r="P47" i="1"/>
  <c r="P20" i="1"/>
  <c r="Q20" i="1" s="1"/>
  <c r="Q31" i="1" s="1"/>
  <c r="Q42" i="1" s="1"/>
  <c r="P24" i="1"/>
  <c r="Q24" i="1" s="1"/>
  <c r="Q35" i="1" s="1"/>
  <c r="Q46" i="1" s="1"/>
  <c r="P28" i="1"/>
  <c r="P32" i="1"/>
  <c r="P18" i="2"/>
  <c r="Q18" i="2" s="1"/>
  <c r="Q29" i="2" s="1"/>
  <c r="Q40" i="2" s="1"/>
  <c r="P20" i="2"/>
  <c r="Q20" i="2" s="1"/>
  <c r="Q31" i="2" s="1"/>
  <c r="Q42" i="2" s="1"/>
  <c r="O20" i="2"/>
  <c r="C22" i="2"/>
  <c r="D22" i="2" s="1"/>
  <c r="B22" i="2"/>
  <c r="P21" i="2" l="1"/>
  <c r="Q21" i="2" s="1"/>
  <c r="Q32" i="2" s="1"/>
  <c r="Q43" i="2" s="1"/>
  <c r="O21" i="2"/>
  <c r="C23" i="2"/>
  <c r="D23" i="2" s="1"/>
  <c r="B23" i="2"/>
  <c r="P22" i="2" l="1"/>
  <c r="Q22" i="2" s="1"/>
  <c r="Q33" i="2" s="1"/>
  <c r="Q44" i="2" s="1"/>
  <c r="O22" i="2"/>
  <c r="B24" i="2"/>
  <c r="C24" i="2"/>
  <c r="D24" i="2" s="1"/>
  <c r="P23" i="2" l="1"/>
  <c r="Q23" i="2" s="1"/>
  <c r="Q34" i="2" s="1"/>
  <c r="Q45" i="2" s="1"/>
  <c r="O23" i="2"/>
  <c r="C25" i="2"/>
  <c r="D25" i="2" s="1"/>
  <c r="B25" i="2"/>
  <c r="O24" i="2" l="1"/>
  <c r="P24" i="2"/>
  <c r="Q24" i="2" s="1"/>
  <c r="Q35" i="2" s="1"/>
  <c r="Q46" i="2" s="1"/>
  <c r="C26" i="2"/>
  <c r="D26" i="2" s="1"/>
  <c r="B26" i="2"/>
  <c r="P25" i="2" l="1"/>
  <c r="Q25" i="2" s="1"/>
  <c r="Q36" i="2" s="1"/>
  <c r="Q47" i="2" s="1"/>
  <c r="O25" i="2"/>
  <c r="P26" i="2" l="1"/>
  <c r="Q26" i="2" s="1"/>
  <c r="Q37" i="2" s="1"/>
  <c r="Q48" i="2" s="1"/>
  <c r="O26" i="2"/>
  <c r="P27" i="2" l="1"/>
  <c r="Q27" i="2" s="1"/>
  <c r="Q38" i="2" s="1"/>
  <c r="Q49" i="2" s="1"/>
  <c r="O27" i="2"/>
  <c r="P28" i="2" l="1"/>
  <c r="O28" i="2"/>
  <c r="P29" i="2" l="1"/>
  <c r="O29" i="2"/>
  <c r="P30" i="2" l="1"/>
  <c r="O30" i="2"/>
  <c r="P31" i="2" l="1"/>
  <c r="O31" i="2"/>
  <c r="O32" i="2" l="1"/>
  <c r="P32" i="2"/>
  <c r="P33" i="2" l="1"/>
  <c r="O33" i="2"/>
  <c r="P34" i="2" l="1"/>
  <c r="O34" i="2"/>
  <c r="P35" i="2" l="1"/>
  <c r="O35" i="2"/>
  <c r="O36" i="2" l="1"/>
  <c r="P36" i="2"/>
  <c r="P37" i="2" l="1"/>
  <c r="O37" i="2"/>
  <c r="P38" i="2" l="1"/>
  <c r="O38" i="2"/>
  <c r="P39" i="2" l="1"/>
  <c r="O39" i="2"/>
  <c r="O40" i="2" l="1"/>
  <c r="P40" i="2"/>
  <c r="P41" i="2" l="1"/>
  <c r="O41" i="2"/>
  <c r="P42" i="2" l="1"/>
  <c r="O42" i="2"/>
  <c r="P43" i="2" l="1"/>
  <c r="O43" i="2"/>
  <c r="O44" i="2" l="1"/>
  <c r="P44" i="2"/>
  <c r="P45" i="2" l="1"/>
  <c r="O45" i="2"/>
  <c r="P46" i="2" l="1"/>
  <c r="O46" i="2"/>
  <c r="P47" i="2" l="1"/>
  <c r="O47" i="2"/>
  <c r="O48" i="2" l="1"/>
  <c r="P48" i="2"/>
  <c r="P49" i="2" l="1"/>
  <c r="O49" i="2"/>
  <c r="P50" i="2" l="1"/>
  <c r="O50" i="2"/>
</calcChain>
</file>

<file path=xl/sharedStrings.xml><?xml version="1.0" encoding="utf-8"?>
<sst xmlns="http://schemas.openxmlformats.org/spreadsheetml/2006/main" count="42" uniqueCount="20">
  <si>
    <t>Исходные данные</t>
  </si>
  <si>
    <t>S[р./парт]</t>
  </si>
  <si>
    <t>d[р./ед]</t>
  </si>
  <si>
    <t>h [р./ед]</t>
  </si>
  <si>
    <t>p[ед/год ]</t>
  </si>
  <si>
    <t>Результаты расчетов</t>
  </si>
  <si>
    <t>q опт</t>
  </si>
  <si>
    <t xml:space="preserve"> C min</t>
  </si>
  <si>
    <t>n</t>
  </si>
  <si>
    <t>T</t>
  </si>
  <si>
    <t>tn</t>
  </si>
  <si>
    <t>Q ср</t>
  </si>
  <si>
    <t>Шаг</t>
  </si>
  <si>
    <t>Значения функции затрат</t>
  </si>
  <si>
    <t>q</t>
  </si>
  <si>
    <t>C</t>
  </si>
  <si>
    <t>Значения функции изменения запаса</t>
  </si>
  <si>
    <t>t</t>
  </si>
  <si>
    <t>Q</t>
  </si>
  <si>
    <t>Моделирование задачи управления запасами при производственных поставках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</si>
</sst>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2"/>
      <color theme="8" tint="-0.499984740745262"/>
      <name val="Calibri"/>
      <family val="2"/>
      <charset val="204"/>
      <scheme val="minor"/>
    </font>
    <font>
      <b/>
      <sz val="11"/>
      <color theme="8" tint="-0.499984740745262"/>
      <name val="Calibri"/>
      <family val="2"/>
      <charset val="204"/>
      <scheme val="minor"/>
    </font>
    <font>
      <b/>
      <sz val="14"/>
      <color theme="8" tint="-0.49998474074526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3" borderId="0" xfId="0" applyFill="1"/>
    <xf numFmtId="0" fontId="3" fillId="2" borderId="0" xfId="0" applyFont="1" applyFill="1" applyAlignment="1">
      <alignment horizontal="center"/>
    </xf>
    <xf numFmtId="0" fontId="2" fillId="5" borderId="1" xfId="0" applyFont="1" applyFill="1" applyBorder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Функция затрат 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'Основная задача'!$C$17:$C$26</c:f>
              <c:numCache>
                <c:formatCode>General</c:formatCode>
                <c:ptCount val="10"/>
                <c:pt idx="0">
                  <c:v>7.9471941423902637</c:v>
                </c:pt>
                <c:pt idx="1">
                  <c:v>23.841582427170795</c:v>
                </c:pt>
                <c:pt idx="2">
                  <c:v>39.735970711951317</c:v>
                </c:pt>
                <c:pt idx="3">
                  <c:v>55.630358996731843</c:v>
                </c:pt>
                <c:pt idx="4">
                  <c:v>71.524747281512361</c:v>
                </c:pt>
                <c:pt idx="5">
                  <c:v>87.419135566292894</c:v>
                </c:pt>
                <c:pt idx="6">
                  <c:v>103.31352385107341</c:v>
                </c:pt>
                <c:pt idx="7">
                  <c:v>119.20791213585393</c:v>
                </c:pt>
                <c:pt idx="8">
                  <c:v>135.10230042063446</c:v>
                </c:pt>
                <c:pt idx="9">
                  <c:v>150.99668870541498</c:v>
                </c:pt>
              </c:numCache>
            </c:numRef>
          </c:xVal>
          <c:yVal>
            <c:numRef>
              <c:f>'Основная задача'!$D$17:$D$26</c:f>
              <c:numCache>
                <c:formatCode>General</c:formatCode>
                <c:ptCount val="10"/>
                <c:pt idx="0">
                  <c:v>114379.99169435185</c:v>
                </c:pt>
                <c:pt idx="1">
                  <c:v>41146.597672225573</c:v>
                </c:pt>
                <c:pt idx="2">
                  <c:v>28311.879132265309</c:v>
                </c:pt>
                <c:pt idx="3">
                  <c:v>24105.542804043038</c:v>
                </c:pt>
                <c:pt idx="4">
                  <c:v>22775.333879733429</c:v>
                </c:pt>
                <c:pt idx="5">
                  <c:v>22752.455593565937</c:v>
                </c:pt>
                <c:pt idx="6">
                  <c:v>23433.524574090367</c:v>
                </c:pt>
                <c:pt idx="7">
                  <c:v>24536.961914629934</c:v>
                </c:pt>
                <c:pt idx="8">
                  <c:v>25913.696429296953</c:v>
                </c:pt>
                <c:pt idx="9">
                  <c:v>27477.423747314337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13448"/>
        <c:axId val="210115408"/>
      </c:scatterChart>
      <c:valAx>
        <c:axId val="210113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0115408"/>
        <c:crosses val="autoZero"/>
        <c:crossBetween val="midCat"/>
      </c:valAx>
      <c:valAx>
        <c:axId val="21011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0113448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Изменение запаса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'Основная задача'!$P$17:$P$50</c:f>
              <c:numCache>
                <c:formatCode>General</c:formatCode>
                <c:ptCount val="34"/>
                <c:pt idx="0">
                  <c:v>0</c:v>
                </c:pt>
                <c:pt idx="1">
                  <c:v>1.324532357065044E-3</c:v>
                </c:pt>
                <c:pt idx="2">
                  <c:v>2.649064714130088E-3</c:v>
                </c:pt>
                <c:pt idx="3">
                  <c:v>3.9735970711951328E-3</c:v>
                </c:pt>
                <c:pt idx="4">
                  <c:v>5.298129428260176E-3</c:v>
                </c:pt>
                <c:pt idx="5">
                  <c:v>6.62266178532522E-3</c:v>
                </c:pt>
                <c:pt idx="6">
                  <c:v>7.9471941423902639E-3</c:v>
                </c:pt>
                <c:pt idx="7">
                  <c:v>9.2717264994553079E-3</c:v>
                </c:pt>
                <c:pt idx="8">
                  <c:v>1.059625885652035E-2</c:v>
                </c:pt>
                <c:pt idx="9">
                  <c:v>1.1920791213585394E-2</c:v>
                </c:pt>
                <c:pt idx="10">
                  <c:v>1.3245323570650438E-2</c:v>
                </c:pt>
                <c:pt idx="11">
                  <c:v>1.4569855927715482E-2</c:v>
                </c:pt>
                <c:pt idx="12">
                  <c:v>1.5894388284780528E-2</c:v>
                </c:pt>
                <c:pt idx="13">
                  <c:v>1.7218920641845572E-2</c:v>
                </c:pt>
                <c:pt idx="14">
                  <c:v>1.8543452998910619E-2</c:v>
                </c:pt>
                <c:pt idx="15">
                  <c:v>1.9867985355975663E-2</c:v>
                </c:pt>
                <c:pt idx="16">
                  <c:v>2.1192517713040707E-2</c:v>
                </c:pt>
                <c:pt idx="17">
                  <c:v>2.2517050070105755E-2</c:v>
                </c:pt>
                <c:pt idx="18">
                  <c:v>2.3841582427170799E-2</c:v>
                </c:pt>
                <c:pt idx="19">
                  <c:v>2.5166114784235843E-2</c:v>
                </c:pt>
                <c:pt idx="20">
                  <c:v>2.6490647141300887E-2</c:v>
                </c:pt>
                <c:pt idx="21">
                  <c:v>2.7815179498365931E-2</c:v>
                </c:pt>
                <c:pt idx="22">
                  <c:v>2.9139711855430975E-2</c:v>
                </c:pt>
                <c:pt idx="23">
                  <c:v>3.0464244212496022E-2</c:v>
                </c:pt>
                <c:pt idx="24">
                  <c:v>3.178877656956107E-2</c:v>
                </c:pt>
                <c:pt idx="25">
                  <c:v>3.311330892662611E-2</c:v>
                </c:pt>
                <c:pt idx="26">
                  <c:v>3.4437841283691158E-2</c:v>
                </c:pt>
                <c:pt idx="27">
                  <c:v>3.5762373640756205E-2</c:v>
                </c:pt>
                <c:pt idx="28">
                  <c:v>3.7086905997821246E-2</c:v>
                </c:pt>
                <c:pt idx="29">
                  <c:v>3.8411438354886293E-2</c:v>
                </c:pt>
                <c:pt idx="30">
                  <c:v>3.9735970711951341E-2</c:v>
                </c:pt>
                <c:pt idx="31">
                  <c:v>4.1060503069016381E-2</c:v>
                </c:pt>
                <c:pt idx="32">
                  <c:v>4.2385035426081429E-2</c:v>
                </c:pt>
                <c:pt idx="33">
                  <c:v>4.3709567783146476E-2</c:v>
                </c:pt>
              </c:numCache>
            </c:numRef>
          </c:xVal>
          <c:yVal>
            <c:numRef>
              <c:f>'Основная задача'!$Q$17:$Q$50</c:f>
              <c:numCache>
                <c:formatCode>General</c:formatCode>
                <c:ptCount val="34"/>
                <c:pt idx="0">
                  <c:v>0</c:v>
                </c:pt>
                <c:pt idx="1">
                  <c:v>15.099668870541501</c:v>
                </c:pt>
                <c:pt idx="2">
                  <c:v>30.199337741083003</c:v>
                </c:pt>
                <c:pt idx="3">
                  <c:v>45.299006611624513</c:v>
                </c:pt>
                <c:pt idx="4">
                  <c:v>60.398675482166006</c:v>
                </c:pt>
                <c:pt idx="5">
                  <c:v>75.498344352707505</c:v>
                </c:pt>
                <c:pt idx="6">
                  <c:v>90.598013223249012</c:v>
                </c:pt>
                <c:pt idx="7">
                  <c:v>105.6976820937905</c:v>
                </c:pt>
                <c:pt idx="8">
                  <c:v>120.797350964332</c:v>
                </c:pt>
                <c:pt idx="9">
                  <c:v>135.8970198348735</c:v>
                </c:pt>
                <c:pt idx="10">
                  <c:v>150.99668870541498</c:v>
                </c:pt>
                <c:pt idx="11">
                  <c:v>0</c:v>
                </c:pt>
                <c:pt idx="12">
                  <c:v>15.099668870541501</c:v>
                </c:pt>
                <c:pt idx="13">
                  <c:v>30.199337741083003</c:v>
                </c:pt>
                <c:pt idx="14">
                  <c:v>45.299006611624513</c:v>
                </c:pt>
                <c:pt idx="15">
                  <c:v>60.398675482166006</c:v>
                </c:pt>
                <c:pt idx="16">
                  <c:v>75.498344352707505</c:v>
                </c:pt>
                <c:pt idx="17">
                  <c:v>90.598013223249012</c:v>
                </c:pt>
                <c:pt idx="18">
                  <c:v>105.6976820937905</c:v>
                </c:pt>
                <c:pt idx="19">
                  <c:v>120.797350964332</c:v>
                </c:pt>
                <c:pt idx="20">
                  <c:v>135.8970198348735</c:v>
                </c:pt>
                <c:pt idx="21">
                  <c:v>150.99668870541498</c:v>
                </c:pt>
                <c:pt idx="22">
                  <c:v>0</c:v>
                </c:pt>
                <c:pt idx="23">
                  <c:v>15.099668870541501</c:v>
                </c:pt>
                <c:pt idx="24">
                  <c:v>30.199337741083003</c:v>
                </c:pt>
                <c:pt idx="25">
                  <c:v>45.299006611624513</c:v>
                </c:pt>
                <c:pt idx="26">
                  <c:v>60.398675482166006</c:v>
                </c:pt>
                <c:pt idx="27">
                  <c:v>75.498344352707505</c:v>
                </c:pt>
                <c:pt idx="28">
                  <c:v>90.598013223249012</c:v>
                </c:pt>
                <c:pt idx="29">
                  <c:v>105.6976820937905</c:v>
                </c:pt>
                <c:pt idx="30">
                  <c:v>120.797350964332</c:v>
                </c:pt>
                <c:pt idx="31">
                  <c:v>135.8970198348735</c:v>
                </c:pt>
                <c:pt idx="32">
                  <c:v>150.99668870541498</c:v>
                </c:pt>
                <c:pt idx="3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87672"/>
        <c:axId val="207055648"/>
      </c:scatterChart>
      <c:valAx>
        <c:axId val="109887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055648"/>
        <c:crosses val="autoZero"/>
        <c:crossBetween val="midCat"/>
      </c:valAx>
      <c:valAx>
        <c:axId val="207055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9887672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Диаграмма2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10</xdr:row>
          <xdr:rowOff>83820</xdr:rowOff>
        </xdr:from>
        <xdr:to>
          <xdr:col>3</xdr:col>
          <xdr:colOff>861060</xdr:colOff>
          <xdr:row>12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202433</xdr:colOff>
          <xdr:row>10</xdr:row>
          <xdr:rowOff>136297</xdr:rowOff>
        </xdr:from>
        <xdr:to>
          <xdr:col>16</xdr:col>
          <xdr:colOff>990599</xdr:colOff>
          <xdr:row>13</xdr:row>
          <xdr:rowOff>3594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10</xdr:row>
          <xdr:rowOff>76200</xdr:rowOff>
        </xdr:from>
        <xdr:to>
          <xdr:col>3</xdr:col>
          <xdr:colOff>575239</xdr:colOff>
          <xdr:row>12</xdr:row>
          <xdr:rowOff>137160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216810</xdr:colOff>
          <xdr:row>10</xdr:row>
          <xdr:rowOff>104955</xdr:rowOff>
        </xdr:from>
        <xdr:to>
          <xdr:col>16</xdr:col>
          <xdr:colOff>939992</xdr:colOff>
          <xdr:row>12</xdr:row>
          <xdr:rowOff>165915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83820</xdr:colOff>
      <xdr:row>3</xdr:row>
      <xdr:rowOff>80008</xdr:rowOff>
    </xdr:from>
    <xdr:ext cx="7896225" cy="1767279"/>
    <xdr:sp macro="" textlink="">
      <xdr:nvSpPr>
        <xdr:cNvPr id="3" name="TextBox 2"/>
        <xdr:cNvSpPr txBox="1"/>
      </xdr:nvSpPr>
      <xdr:spPr>
        <a:xfrm>
          <a:off x="2583180" y="628648"/>
          <a:ext cx="7896225" cy="17672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 rtl="0"/>
          <a:r>
            <a:rPr lang="ru-RU" sz="2400" b="1" i="1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В случае когда скорость поставки равна спросу</a:t>
          </a:r>
          <a:r>
            <a:rPr lang="ru-RU" sz="2400" b="1" i="1" baseline="0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2400" b="1" i="1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необходима непрерывная поставка, для которой периодичность поставки и размер одной партии</a:t>
          </a:r>
          <a:r>
            <a:rPr lang="en-US" sz="2400" b="1" i="1" baseline="0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2400" b="1" i="1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не могут быть вычислены.</a:t>
          </a:r>
          <a:r>
            <a:rPr lang="en-US" sz="2400" b="1" i="1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2400" b="1" i="1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Поэтому</a:t>
          </a:r>
          <a:r>
            <a:rPr lang="ru-RU" sz="2400" b="1" i="1" baseline="0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з</a:t>
          </a:r>
          <a:r>
            <a:rPr lang="ru-RU" sz="2400" b="1" i="1"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апас равен нулю.</a:t>
          </a:r>
          <a:endParaRPr lang="ru-RU" sz="2400" b="1" i="1">
            <a:solidFill>
              <a:schemeClr val="accent5">
                <a:lumMod val="50000"/>
              </a:schemeClr>
            </a:solidFill>
            <a:effectLst/>
          </a:endParaRPr>
        </a:p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U52"/>
  <sheetViews>
    <sheetView tabSelected="1" zoomScale="53" zoomScaleNormal="53" workbookViewId="0">
      <selection activeCell="AC11" sqref="AC11"/>
    </sheetView>
  </sheetViews>
  <sheetFormatPr defaultColWidth="9.109375" defaultRowHeight="14.4" x14ac:dyDescent="0.3"/>
  <cols>
    <col min="1" max="1" width="3.44140625" style="1" customWidth="1"/>
    <col min="2" max="2" width="9.109375" style="1"/>
    <col min="3" max="3" width="10.6640625" style="1" customWidth="1"/>
    <col min="4" max="4" width="16.33203125" style="1" customWidth="1"/>
    <col min="5" max="5" width="4.44140625" style="1" customWidth="1"/>
    <col min="6" max="6" width="5.21875" style="1" customWidth="1"/>
    <col min="7" max="7" width="9.109375" style="1"/>
    <col min="8" max="8" width="7.33203125" style="1" customWidth="1"/>
    <col min="9" max="9" width="10" style="1" customWidth="1"/>
    <col min="10" max="11" width="9.109375" style="1"/>
    <col min="12" max="12" width="10.88671875" style="1" customWidth="1"/>
    <col min="13" max="15" width="9.109375" style="1"/>
    <col min="16" max="17" width="17.44140625" style="1" customWidth="1"/>
    <col min="18" max="19" width="9.109375" style="1"/>
    <col min="20" max="20" width="9.109375" style="1" customWidth="1"/>
    <col min="21" max="21" width="3.109375" style="1" customWidth="1"/>
    <col min="22" max="16384" width="9.109375" style="1"/>
  </cols>
  <sheetData>
    <row r="1" spans="1:2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hidden="1" x14ac:dyDescent="0.3">
      <c r="A2" s="3"/>
      <c r="G2" s="2"/>
      <c r="H2" s="2"/>
      <c r="I2" s="2"/>
      <c r="J2" s="2"/>
      <c r="K2" s="2"/>
      <c r="L2" s="2"/>
      <c r="M2" s="2"/>
      <c r="U2" s="3"/>
    </row>
    <row r="3" spans="1:21" ht="18" x14ac:dyDescent="0.35">
      <c r="A3" s="3"/>
      <c r="G3" s="4" t="s">
        <v>19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U3" s="3"/>
    </row>
    <row r="4" spans="1:21" ht="11.25" customHeight="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3">
      <c r="A5" s="3"/>
      <c r="U5" s="3"/>
    </row>
    <row r="6" spans="1:21" ht="15.6" x14ac:dyDescent="0.3">
      <c r="A6" s="3"/>
      <c r="I6" s="10" t="s">
        <v>0</v>
      </c>
      <c r="J6" s="11"/>
      <c r="K6" s="11"/>
      <c r="L6" s="12"/>
      <c r="U6" s="3"/>
    </row>
    <row r="7" spans="1:21" ht="15.6" x14ac:dyDescent="0.3">
      <c r="A7" s="3"/>
      <c r="I7" s="13" t="s">
        <v>1</v>
      </c>
      <c r="J7" s="13" t="s">
        <v>2</v>
      </c>
      <c r="K7" s="13" t="s">
        <v>3</v>
      </c>
      <c r="L7" s="14" t="s">
        <v>4</v>
      </c>
      <c r="U7" s="3"/>
    </row>
    <row r="8" spans="1:21" ht="15.6" x14ac:dyDescent="0.3">
      <c r="A8" s="3"/>
      <c r="I8" s="13">
        <v>1500</v>
      </c>
      <c r="J8" s="13">
        <v>600</v>
      </c>
      <c r="K8" s="13">
        <v>300</v>
      </c>
      <c r="L8" s="13">
        <v>12000</v>
      </c>
      <c r="U8" s="3"/>
    </row>
    <row r="9" spans="1:21" hidden="1" x14ac:dyDescent="0.3">
      <c r="A9" s="3"/>
      <c r="U9" s="3"/>
    </row>
    <row r="10" spans="1:21" x14ac:dyDescent="0.3">
      <c r="A10" s="3"/>
      <c r="U10" s="3"/>
    </row>
    <row r="11" spans="1:21" ht="15.6" x14ac:dyDescent="0.3">
      <c r="A11" s="3"/>
      <c r="H11" s="10" t="s">
        <v>5</v>
      </c>
      <c r="I11" s="11"/>
      <c r="J11" s="11"/>
      <c r="K11" s="11"/>
      <c r="L11" s="11"/>
      <c r="M11" s="12"/>
      <c r="U11" s="3"/>
    </row>
    <row r="12" spans="1:21" ht="15.6" x14ac:dyDescent="0.3">
      <c r="A12" s="3"/>
      <c r="H12" s="14" t="s">
        <v>6</v>
      </c>
      <c r="I12" s="14" t="s">
        <v>7</v>
      </c>
      <c r="J12" s="14" t="s">
        <v>8</v>
      </c>
      <c r="K12" s="14" t="s">
        <v>9</v>
      </c>
      <c r="L12" s="14" t="s">
        <v>10</v>
      </c>
      <c r="M12" s="14" t="s">
        <v>11</v>
      </c>
      <c r="U12" s="3"/>
    </row>
    <row r="13" spans="1:21" ht="15.6" x14ac:dyDescent="0.3">
      <c r="A13" s="3"/>
      <c r="H13" s="13">
        <f>SQRT((2*L8*I8*J8)/(K8*(L8-J8)))</f>
        <v>79.471941423902635</v>
      </c>
      <c r="I13" s="13">
        <f>$I$8*($J$8/H13)+($K$8*($L$8-$J$8)*H13)/(2*$L$8)</f>
        <v>22649.50330581225</v>
      </c>
      <c r="J13" s="13">
        <f>J8/H13</f>
        <v>7.5498344352707489</v>
      </c>
      <c r="K13" s="13">
        <f>1/J13</f>
        <v>0.13245323570650439</v>
      </c>
      <c r="L13" s="13">
        <f>H13/L8</f>
        <v>6.62266178532522E-3</v>
      </c>
      <c r="M13" s="13">
        <f>($L$8-$J$8)*H13/$L$8</f>
        <v>75.498344352707505</v>
      </c>
      <c r="U13" s="3"/>
    </row>
    <row r="14" spans="1:21" x14ac:dyDescent="0.3">
      <c r="A14" s="3"/>
      <c r="U14" s="3"/>
    </row>
    <row r="15" spans="1:21" x14ac:dyDescent="0.3">
      <c r="A15" s="3"/>
      <c r="B15" s="6" t="s">
        <v>12</v>
      </c>
      <c r="C15" s="7" t="s">
        <v>13</v>
      </c>
      <c r="D15" s="8"/>
      <c r="O15" s="6" t="s">
        <v>12</v>
      </c>
      <c r="P15" s="7" t="s">
        <v>16</v>
      </c>
      <c r="Q15" s="8"/>
      <c r="U15" s="3"/>
    </row>
    <row r="16" spans="1:21" x14ac:dyDescent="0.3">
      <c r="A16" s="3"/>
      <c r="B16" s="5">
        <v>0.1</v>
      </c>
      <c r="C16" s="9" t="s">
        <v>14</v>
      </c>
      <c r="D16" s="9" t="s">
        <v>15</v>
      </c>
      <c r="O16" s="5">
        <v>0</v>
      </c>
      <c r="P16" s="9" t="s">
        <v>17</v>
      </c>
      <c r="Q16" s="9" t="s">
        <v>18</v>
      </c>
      <c r="U16" s="3"/>
    </row>
    <row r="17" spans="1:21" x14ac:dyDescent="0.3">
      <c r="A17" s="3"/>
      <c r="B17" s="5">
        <f>B16+0.2</f>
        <v>0.30000000000000004</v>
      </c>
      <c r="C17" s="5">
        <f>$H$13*B16</f>
        <v>7.9471941423902637</v>
      </c>
      <c r="D17" s="5">
        <f>$I$8*($J$8/C17)+($K$8*($L$8-$J$8)*C17)/(2*$L$8)</f>
        <v>114379.99169435185</v>
      </c>
      <c r="O17" s="5">
        <f>O16+0.2</f>
        <v>0.2</v>
      </c>
      <c r="P17" s="5">
        <f>$L$13*O16</f>
        <v>0</v>
      </c>
      <c r="Q17" s="5">
        <f>P17*($L$8-$J$8)</f>
        <v>0</v>
      </c>
      <c r="U17" s="3"/>
    </row>
    <row r="18" spans="1:21" x14ac:dyDescent="0.3">
      <c r="A18" s="3"/>
      <c r="B18" s="5">
        <f t="shared" ref="B18:B26" si="0">B17+0.2</f>
        <v>0.5</v>
      </c>
      <c r="C18" s="5">
        <f t="shared" ref="C18:C26" si="1">$H$13*B17</f>
        <v>23.841582427170795</v>
      </c>
      <c r="D18" s="5">
        <f t="shared" ref="D18:D26" si="2">$I$8*($J$8/C18)+($K$8*($L$8-$J$8)*C18)/(2*$L$8)</f>
        <v>41146.597672225573</v>
      </c>
      <c r="O18" s="5">
        <f t="shared" ref="O18:O50" si="3">O17+0.2</f>
        <v>0.4</v>
      </c>
      <c r="P18" s="5">
        <f t="shared" ref="P18:P50" si="4">$L$13*O17</f>
        <v>1.324532357065044E-3</v>
      </c>
      <c r="Q18" s="5">
        <f t="shared" ref="Q18:Q27" si="5">P18*($L$8-$J$8)</f>
        <v>15.099668870541501</v>
      </c>
      <c r="U18" s="3"/>
    </row>
    <row r="19" spans="1:21" x14ac:dyDescent="0.3">
      <c r="A19" s="3"/>
      <c r="B19" s="5">
        <f t="shared" si="0"/>
        <v>0.7</v>
      </c>
      <c r="C19" s="5">
        <f t="shared" si="1"/>
        <v>39.735970711951317</v>
      </c>
      <c r="D19" s="5">
        <f t="shared" si="2"/>
        <v>28311.879132265309</v>
      </c>
      <c r="O19" s="5">
        <f t="shared" si="3"/>
        <v>0.60000000000000009</v>
      </c>
      <c r="P19" s="5">
        <f t="shared" si="4"/>
        <v>2.649064714130088E-3</v>
      </c>
      <c r="Q19" s="5">
        <f t="shared" si="5"/>
        <v>30.199337741083003</v>
      </c>
      <c r="U19" s="3"/>
    </row>
    <row r="20" spans="1:21" x14ac:dyDescent="0.3">
      <c r="A20" s="3"/>
      <c r="B20" s="5">
        <f t="shared" si="0"/>
        <v>0.89999999999999991</v>
      </c>
      <c r="C20" s="5">
        <f t="shared" si="1"/>
        <v>55.630358996731843</v>
      </c>
      <c r="D20" s="5">
        <f t="shared" si="2"/>
        <v>24105.542804043038</v>
      </c>
      <c r="O20" s="5">
        <f t="shared" si="3"/>
        <v>0.8</v>
      </c>
      <c r="P20" s="5">
        <f t="shared" si="4"/>
        <v>3.9735970711951328E-3</v>
      </c>
      <c r="Q20" s="5">
        <f t="shared" si="5"/>
        <v>45.299006611624513</v>
      </c>
      <c r="U20" s="3"/>
    </row>
    <row r="21" spans="1:21" x14ac:dyDescent="0.3">
      <c r="A21" s="3"/>
      <c r="B21" s="5">
        <f t="shared" si="0"/>
        <v>1.0999999999999999</v>
      </c>
      <c r="C21" s="5">
        <f t="shared" si="1"/>
        <v>71.524747281512361</v>
      </c>
      <c r="D21" s="5">
        <f t="shared" si="2"/>
        <v>22775.333879733429</v>
      </c>
      <c r="O21" s="5">
        <f t="shared" si="3"/>
        <v>1</v>
      </c>
      <c r="P21" s="5">
        <f t="shared" si="4"/>
        <v>5.298129428260176E-3</v>
      </c>
      <c r="Q21" s="5">
        <f t="shared" si="5"/>
        <v>60.398675482166006</v>
      </c>
      <c r="U21" s="3"/>
    </row>
    <row r="22" spans="1:21" x14ac:dyDescent="0.3">
      <c r="A22" s="3"/>
      <c r="B22" s="5">
        <f t="shared" si="0"/>
        <v>1.2999999999999998</v>
      </c>
      <c r="C22" s="5">
        <f t="shared" si="1"/>
        <v>87.419135566292894</v>
      </c>
      <c r="D22" s="5">
        <f t="shared" si="2"/>
        <v>22752.455593565937</v>
      </c>
      <c r="O22" s="5">
        <f t="shared" si="3"/>
        <v>1.2</v>
      </c>
      <c r="P22" s="5">
        <f t="shared" si="4"/>
        <v>6.62266178532522E-3</v>
      </c>
      <c r="Q22" s="5">
        <f t="shared" si="5"/>
        <v>75.498344352707505</v>
      </c>
      <c r="U22" s="3"/>
    </row>
    <row r="23" spans="1:21" x14ac:dyDescent="0.3">
      <c r="A23" s="3"/>
      <c r="B23" s="5">
        <f t="shared" si="0"/>
        <v>1.4999999999999998</v>
      </c>
      <c r="C23" s="5">
        <f t="shared" si="1"/>
        <v>103.31352385107341</v>
      </c>
      <c r="D23" s="5">
        <f t="shared" si="2"/>
        <v>23433.524574090367</v>
      </c>
      <c r="O23" s="5">
        <f t="shared" si="3"/>
        <v>1.4</v>
      </c>
      <c r="P23" s="5">
        <f t="shared" si="4"/>
        <v>7.9471941423902639E-3</v>
      </c>
      <c r="Q23" s="5">
        <f t="shared" si="5"/>
        <v>90.598013223249012</v>
      </c>
      <c r="U23" s="3"/>
    </row>
    <row r="24" spans="1:21" x14ac:dyDescent="0.3">
      <c r="A24" s="3"/>
      <c r="B24" s="5">
        <f t="shared" si="0"/>
        <v>1.6999999999999997</v>
      </c>
      <c r="C24" s="5">
        <f t="shared" si="1"/>
        <v>119.20791213585393</v>
      </c>
      <c r="D24" s="5">
        <f t="shared" si="2"/>
        <v>24536.961914629934</v>
      </c>
      <c r="O24" s="5">
        <f t="shared" si="3"/>
        <v>1.5999999999999999</v>
      </c>
      <c r="P24" s="5">
        <f t="shared" si="4"/>
        <v>9.2717264994553079E-3</v>
      </c>
      <c r="Q24" s="5">
        <f t="shared" si="5"/>
        <v>105.6976820937905</v>
      </c>
      <c r="U24" s="3"/>
    </row>
    <row r="25" spans="1:21" x14ac:dyDescent="0.3">
      <c r="A25" s="3"/>
      <c r="B25" s="5">
        <f t="shared" si="0"/>
        <v>1.8999999999999997</v>
      </c>
      <c r="C25" s="5">
        <f t="shared" si="1"/>
        <v>135.10230042063446</v>
      </c>
      <c r="D25" s="5">
        <f t="shared" si="2"/>
        <v>25913.696429296953</v>
      </c>
      <c r="O25" s="5">
        <f t="shared" si="3"/>
        <v>1.7999999999999998</v>
      </c>
      <c r="P25" s="5">
        <f t="shared" si="4"/>
        <v>1.059625885652035E-2</v>
      </c>
      <c r="Q25" s="5">
        <f t="shared" si="5"/>
        <v>120.797350964332</v>
      </c>
      <c r="U25" s="3"/>
    </row>
    <row r="26" spans="1:21" x14ac:dyDescent="0.3">
      <c r="A26" s="3"/>
      <c r="B26" s="5">
        <f t="shared" si="0"/>
        <v>2.0999999999999996</v>
      </c>
      <c r="C26" s="5">
        <f t="shared" si="1"/>
        <v>150.99668870541498</v>
      </c>
      <c r="D26" s="5">
        <f t="shared" si="2"/>
        <v>27477.423747314337</v>
      </c>
      <c r="O26" s="5">
        <f t="shared" si="3"/>
        <v>1.9999999999999998</v>
      </c>
      <c r="P26" s="5">
        <f t="shared" si="4"/>
        <v>1.1920791213585394E-2</v>
      </c>
      <c r="Q26" s="5">
        <f t="shared" si="5"/>
        <v>135.8970198348735</v>
      </c>
      <c r="U26" s="3"/>
    </row>
    <row r="27" spans="1:21" x14ac:dyDescent="0.3">
      <c r="A27" s="3"/>
      <c r="O27" s="5">
        <f t="shared" si="3"/>
        <v>2.1999999999999997</v>
      </c>
      <c r="P27" s="5">
        <f t="shared" si="4"/>
        <v>1.3245323570650438E-2</v>
      </c>
      <c r="Q27" s="5">
        <f t="shared" si="5"/>
        <v>150.99668870541498</v>
      </c>
      <c r="U27" s="3"/>
    </row>
    <row r="28" spans="1:21" x14ac:dyDescent="0.3">
      <c r="A28" s="3"/>
      <c r="O28" s="5">
        <f t="shared" si="3"/>
        <v>2.4</v>
      </c>
      <c r="P28" s="5">
        <f t="shared" si="4"/>
        <v>1.4569855927715482E-2</v>
      </c>
      <c r="Q28" s="5">
        <f t="shared" ref="Q28:Q47" si="6">Q17</f>
        <v>0</v>
      </c>
      <c r="U28" s="3"/>
    </row>
    <row r="29" spans="1:21" x14ac:dyDescent="0.3">
      <c r="A29" s="3"/>
      <c r="O29" s="5">
        <f t="shared" si="3"/>
        <v>2.6</v>
      </c>
      <c r="P29" s="5">
        <f t="shared" si="4"/>
        <v>1.5894388284780528E-2</v>
      </c>
      <c r="Q29" s="5">
        <f t="shared" si="6"/>
        <v>15.099668870541501</v>
      </c>
      <c r="U29" s="3"/>
    </row>
    <row r="30" spans="1:21" x14ac:dyDescent="0.3">
      <c r="A30" s="3"/>
      <c r="O30" s="5">
        <f t="shared" si="3"/>
        <v>2.8000000000000003</v>
      </c>
      <c r="P30" s="5">
        <f t="shared" si="4"/>
        <v>1.7218920641845572E-2</v>
      </c>
      <c r="Q30" s="5">
        <f t="shared" si="6"/>
        <v>30.199337741083003</v>
      </c>
      <c r="U30" s="3"/>
    </row>
    <row r="31" spans="1:21" x14ac:dyDescent="0.3">
      <c r="A31" s="3"/>
      <c r="O31" s="5">
        <f t="shared" si="3"/>
        <v>3.0000000000000004</v>
      </c>
      <c r="P31" s="5">
        <f t="shared" si="4"/>
        <v>1.8543452998910619E-2</v>
      </c>
      <c r="Q31" s="5">
        <f t="shared" si="6"/>
        <v>45.299006611624513</v>
      </c>
      <c r="U31" s="3"/>
    </row>
    <row r="32" spans="1:21" x14ac:dyDescent="0.3">
      <c r="A32" s="3"/>
      <c r="O32" s="5">
        <f t="shared" si="3"/>
        <v>3.2000000000000006</v>
      </c>
      <c r="P32" s="5">
        <f t="shared" si="4"/>
        <v>1.9867985355975663E-2</v>
      </c>
      <c r="Q32" s="5">
        <f t="shared" si="6"/>
        <v>60.398675482166006</v>
      </c>
      <c r="U32" s="3"/>
    </row>
    <row r="33" spans="1:21" x14ac:dyDescent="0.3">
      <c r="A33" s="3"/>
      <c r="O33" s="5">
        <f t="shared" si="3"/>
        <v>3.4000000000000008</v>
      </c>
      <c r="P33" s="5">
        <f t="shared" si="4"/>
        <v>2.1192517713040707E-2</v>
      </c>
      <c r="Q33" s="5">
        <f t="shared" si="6"/>
        <v>75.498344352707505</v>
      </c>
      <c r="U33" s="3"/>
    </row>
    <row r="34" spans="1:21" x14ac:dyDescent="0.3">
      <c r="A34" s="3"/>
      <c r="O34" s="5">
        <f t="shared" si="3"/>
        <v>3.600000000000001</v>
      </c>
      <c r="P34" s="5">
        <f t="shared" si="4"/>
        <v>2.2517050070105755E-2</v>
      </c>
      <c r="Q34" s="5">
        <f t="shared" si="6"/>
        <v>90.598013223249012</v>
      </c>
      <c r="U34" s="3"/>
    </row>
    <row r="35" spans="1:21" x14ac:dyDescent="0.3">
      <c r="A35" s="3"/>
      <c r="O35" s="5">
        <f t="shared" si="3"/>
        <v>3.8000000000000012</v>
      </c>
      <c r="P35" s="5">
        <f t="shared" si="4"/>
        <v>2.3841582427170799E-2</v>
      </c>
      <c r="Q35" s="5">
        <f t="shared" si="6"/>
        <v>105.6976820937905</v>
      </c>
      <c r="U35" s="3"/>
    </row>
    <row r="36" spans="1:21" x14ac:dyDescent="0.3">
      <c r="A36" s="3"/>
      <c r="O36" s="5">
        <f t="shared" si="3"/>
        <v>4.0000000000000009</v>
      </c>
      <c r="P36" s="5">
        <f t="shared" si="4"/>
        <v>2.5166114784235843E-2</v>
      </c>
      <c r="Q36" s="5">
        <f t="shared" si="6"/>
        <v>120.797350964332</v>
      </c>
      <c r="U36" s="3"/>
    </row>
    <row r="37" spans="1:21" x14ac:dyDescent="0.3">
      <c r="A37" s="3"/>
      <c r="O37" s="5">
        <f t="shared" si="3"/>
        <v>4.2000000000000011</v>
      </c>
      <c r="P37" s="5">
        <f t="shared" si="4"/>
        <v>2.6490647141300887E-2</v>
      </c>
      <c r="Q37" s="5">
        <f t="shared" si="6"/>
        <v>135.8970198348735</v>
      </c>
      <c r="U37" s="3"/>
    </row>
    <row r="38" spans="1:21" x14ac:dyDescent="0.3">
      <c r="A38" s="3"/>
      <c r="O38" s="5">
        <f t="shared" si="3"/>
        <v>4.4000000000000012</v>
      </c>
      <c r="P38" s="5">
        <f t="shared" si="4"/>
        <v>2.7815179498365931E-2</v>
      </c>
      <c r="Q38" s="5">
        <f t="shared" si="6"/>
        <v>150.99668870541498</v>
      </c>
      <c r="U38" s="3"/>
    </row>
    <row r="39" spans="1:21" x14ac:dyDescent="0.3">
      <c r="A39" s="3"/>
      <c r="O39" s="5">
        <f t="shared" si="3"/>
        <v>4.6000000000000014</v>
      </c>
      <c r="P39" s="5">
        <f t="shared" si="4"/>
        <v>2.9139711855430975E-2</v>
      </c>
      <c r="Q39" s="5">
        <f t="shared" si="6"/>
        <v>0</v>
      </c>
      <c r="U39" s="3"/>
    </row>
    <row r="40" spans="1:21" x14ac:dyDescent="0.3">
      <c r="A40" s="3"/>
      <c r="O40" s="5">
        <f t="shared" si="3"/>
        <v>4.8000000000000016</v>
      </c>
      <c r="P40" s="5">
        <f t="shared" si="4"/>
        <v>3.0464244212496022E-2</v>
      </c>
      <c r="Q40" s="5">
        <f t="shared" si="6"/>
        <v>15.099668870541501</v>
      </c>
      <c r="U40" s="3"/>
    </row>
    <row r="41" spans="1:21" x14ac:dyDescent="0.3">
      <c r="A41" s="3"/>
      <c r="O41" s="5">
        <f t="shared" si="3"/>
        <v>5.0000000000000018</v>
      </c>
      <c r="P41" s="5">
        <f t="shared" si="4"/>
        <v>3.178877656956107E-2</v>
      </c>
      <c r="Q41" s="5">
        <f t="shared" si="6"/>
        <v>30.199337741083003</v>
      </c>
      <c r="U41" s="3"/>
    </row>
    <row r="42" spans="1:21" x14ac:dyDescent="0.3">
      <c r="A42" s="3"/>
      <c r="O42" s="5">
        <f t="shared" si="3"/>
        <v>5.200000000000002</v>
      </c>
      <c r="P42" s="5">
        <f t="shared" si="4"/>
        <v>3.311330892662611E-2</v>
      </c>
      <c r="Q42" s="5">
        <f t="shared" si="6"/>
        <v>45.299006611624513</v>
      </c>
      <c r="U42" s="3"/>
    </row>
    <row r="43" spans="1:21" x14ac:dyDescent="0.3">
      <c r="A43" s="3"/>
      <c r="O43" s="5">
        <f t="shared" si="3"/>
        <v>5.4000000000000021</v>
      </c>
      <c r="P43" s="5">
        <f t="shared" si="4"/>
        <v>3.4437841283691158E-2</v>
      </c>
      <c r="Q43" s="5">
        <f t="shared" si="6"/>
        <v>60.398675482166006</v>
      </c>
      <c r="U43" s="3"/>
    </row>
    <row r="44" spans="1:21" x14ac:dyDescent="0.3">
      <c r="A44" s="3"/>
      <c r="O44" s="5">
        <f t="shared" si="3"/>
        <v>5.6000000000000023</v>
      </c>
      <c r="P44" s="5">
        <f t="shared" si="4"/>
        <v>3.5762373640756205E-2</v>
      </c>
      <c r="Q44" s="5">
        <f t="shared" si="6"/>
        <v>75.498344352707505</v>
      </c>
      <c r="U44" s="3"/>
    </row>
    <row r="45" spans="1:21" x14ac:dyDescent="0.3">
      <c r="A45" s="3"/>
      <c r="O45" s="5">
        <f t="shared" si="3"/>
        <v>5.8000000000000025</v>
      </c>
      <c r="P45" s="5">
        <f t="shared" si="4"/>
        <v>3.7086905997821246E-2</v>
      </c>
      <c r="Q45" s="5">
        <f t="shared" si="6"/>
        <v>90.598013223249012</v>
      </c>
      <c r="U45" s="3"/>
    </row>
    <row r="46" spans="1:21" x14ac:dyDescent="0.3">
      <c r="A46" s="3"/>
      <c r="O46" s="5">
        <f t="shared" si="3"/>
        <v>6.0000000000000027</v>
      </c>
      <c r="P46" s="5">
        <f t="shared" si="4"/>
        <v>3.8411438354886293E-2</v>
      </c>
      <c r="Q46" s="5">
        <f t="shared" si="6"/>
        <v>105.6976820937905</v>
      </c>
      <c r="U46" s="3"/>
    </row>
    <row r="47" spans="1:21" x14ac:dyDescent="0.3">
      <c r="A47" s="3"/>
      <c r="O47" s="5">
        <f t="shared" si="3"/>
        <v>6.2000000000000028</v>
      </c>
      <c r="P47" s="5">
        <f t="shared" si="4"/>
        <v>3.9735970711951341E-2</v>
      </c>
      <c r="Q47" s="5">
        <f t="shared" si="6"/>
        <v>120.797350964332</v>
      </c>
      <c r="U47" s="3"/>
    </row>
    <row r="48" spans="1:21" x14ac:dyDescent="0.3">
      <c r="A48" s="3"/>
      <c r="O48" s="5">
        <f t="shared" si="3"/>
        <v>6.400000000000003</v>
      </c>
      <c r="P48" s="5">
        <f t="shared" si="4"/>
        <v>4.1060503069016381E-2</v>
      </c>
      <c r="Q48" s="5">
        <f t="shared" ref="Q48:Q50" si="7">Q37</f>
        <v>135.8970198348735</v>
      </c>
      <c r="U48" s="3"/>
    </row>
    <row r="49" spans="1:21" x14ac:dyDescent="0.3">
      <c r="A49" s="3"/>
      <c r="O49" s="5">
        <f t="shared" si="3"/>
        <v>6.6000000000000032</v>
      </c>
      <c r="P49" s="5">
        <f t="shared" si="4"/>
        <v>4.2385035426081429E-2</v>
      </c>
      <c r="Q49" s="5">
        <f t="shared" si="7"/>
        <v>150.99668870541498</v>
      </c>
      <c r="U49" s="3"/>
    </row>
    <row r="50" spans="1:21" x14ac:dyDescent="0.3">
      <c r="A50" s="3"/>
      <c r="O50" s="5">
        <f t="shared" si="3"/>
        <v>6.8000000000000034</v>
      </c>
      <c r="P50" s="5">
        <f t="shared" si="4"/>
        <v>4.3709567783146476E-2</v>
      </c>
      <c r="Q50" s="5">
        <f t="shared" si="7"/>
        <v>0</v>
      </c>
      <c r="U50" s="3"/>
    </row>
    <row r="51" spans="1:21" x14ac:dyDescent="0.3">
      <c r="A51" s="3"/>
      <c r="U51" s="3"/>
    </row>
    <row r="52" spans="1:2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</sheetData>
  <mergeCells count="5">
    <mergeCell ref="I6:L6"/>
    <mergeCell ref="H11:M11"/>
    <mergeCell ref="C15:D15"/>
    <mergeCell ref="P15:Q15"/>
    <mergeCell ref="G3:R3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</xdr:col>
                <xdr:colOff>137160</xdr:colOff>
                <xdr:row>10</xdr:row>
                <xdr:rowOff>83820</xdr:rowOff>
              </from>
              <to>
                <xdr:col>3</xdr:col>
                <xdr:colOff>861060</xdr:colOff>
                <xdr:row>12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14</xdr:col>
                <xdr:colOff>205740</xdr:colOff>
                <xdr:row>10</xdr:row>
                <xdr:rowOff>137160</xdr:rowOff>
              </from>
              <to>
                <xdr:col>16</xdr:col>
                <xdr:colOff>990600</xdr:colOff>
                <xdr:row>13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S52"/>
  <sheetViews>
    <sheetView zoomScale="53" zoomScaleNormal="53" workbookViewId="0">
      <selection activeCell="W13" sqref="W13"/>
    </sheetView>
  </sheetViews>
  <sheetFormatPr defaultColWidth="9.109375" defaultRowHeight="14.4" x14ac:dyDescent="0.3"/>
  <cols>
    <col min="1" max="1" width="3.44140625" style="1" customWidth="1"/>
    <col min="2" max="2" width="9.109375" style="1"/>
    <col min="3" max="3" width="13.5546875" style="1" customWidth="1"/>
    <col min="4" max="4" width="14.109375" style="1" customWidth="1"/>
    <col min="5" max="6" width="0" style="1" hidden="1" customWidth="1"/>
    <col min="7" max="10" width="9.109375" style="1"/>
    <col min="11" max="11" width="9.109375" style="1" customWidth="1"/>
    <col min="12" max="12" width="11.33203125" style="1" customWidth="1"/>
    <col min="13" max="14" width="9.109375" style="1"/>
    <col min="15" max="15" width="9" style="1" customWidth="1"/>
    <col min="16" max="16" width="17.5546875" style="1" customWidth="1"/>
    <col min="17" max="17" width="17.6640625" style="1" customWidth="1"/>
    <col min="18" max="18" width="9.109375" style="1"/>
    <col min="19" max="19" width="3.6640625" style="1" customWidth="1"/>
    <col min="20" max="16384" width="9.109375" style="1"/>
  </cols>
  <sheetData>
    <row r="1" spans="1:19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idden="1" x14ac:dyDescent="0.3">
      <c r="A2" s="3"/>
      <c r="S2" s="3"/>
    </row>
    <row r="3" spans="1:19" ht="18" x14ac:dyDescent="0.35">
      <c r="A3" s="3"/>
      <c r="D3" s="4" t="s">
        <v>19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S3" s="3"/>
    </row>
    <row r="4" spans="1:19" ht="9.75" customHeight="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x14ac:dyDescent="0.3">
      <c r="A5" s="3"/>
      <c r="S5" s="3"/>
    </row>
    <row r="6" spans="1:19" ht="15.6" x14ac:dyDescent="0.3">
      <c r="A6" s="3"/>
      <c r="I6" s="10" t="s">
        <v>0</v>
      </c>
      <c r="J6" s="11"/>
      <c r="K6" s="11"/>
      <c r="L6" s="12"/>
      <c r="S6" s="3"/>
    </row>
    <row r="7" spans="1:19" ht="15.6" x14ac:dyDescent="0.3">
      <c r="A7" s="3"/>
      <c r="I7" s="13" t="s">
        <v>1</v>
      </c>
      <c r="J7" s="13" t="s">
        <v>2</v>
      </c>
      <c r="K7" s="13" t="s">
        <v>3</v>
      </c>
      <c r="L7" s="14" t="s">
        <v>4</v>
      </c>
      <c r="S7" s="3"/>
    </row>
    <row r="8" spans="1:19" ht="15.6" x14ac:dyDescent="0.3">
      <c r="A8" s="3"/>
      <c r="I8" s="13">
        <v>1500</v>
      </c>
      <c r="J8" s="13">
        <v>600</v>
      </c>
      <c r="K8" s="13">
        <v>300</v>
      </c>
      <c r="L8" s="13">
        <v>6000</v>
      </c>
      <c r="S8" s="3"/>
    </row>
    <row r="9" spans="1:19" x14ac:dyDescent="0.3">
      <c r="A9" s="3"/>
      <c r="S9" s="3"/>
    </row>
    <row r="10" spans="1:19" x14ac:dyDescent="0.3">
      <c r="A10" s="3"/>
      <c r="S10" s="3"/>
    </row>
    <row r="11" spans="1:19" ht="15.6" x14ac:dyDescent="0.3">
      <c r="A11" s="3"/>
      <c r="H11" s="10" t="s">
        <v>5</v>
      </c>
      <c r="I11" s="11"/>
      <c r="J11" s="11"/>
      <c r="K11" s="11"/>
      <c r="L11" s="11"/>
      <c r="M11" s="12"/>
      <c r="S11" s="3"/>
    </row>
    <row r="12" spans="1:19" ht="15.6" x14ac:dyDescent="0.3">
      <c r="A12" s="3"/>
      <c r="H12" s="14" t="s">
        <v>6</v>
      </c>
      <c r="I12" s="14" t="s">
        <v>7</v>
      </c>
      <c r="J12" s="14" t="s">
        <v>8</v>
      </c>
      <c r="K12" s="14" t="s">
        <v>9</v>
      </c>
      <c r="L12" s="14" t="s">
        <v>10</v>
      </c>
      <c r="M12" s="14" t="s">
        <v>11</v>
      </c>
      <c r="S12" s="3"/>
    </row>
    <row r="13" spans="1:19" ht="15.6" x14ac:dyDescent="0.3">
      <c r="A13" s="3"/>
      <c r="H13" s="13">
        <f>SQRT((2*L8*I8*J8)/(K8*(L8-J8)))</f>
        <v>81.649658092772611</v>
      </c>
      <c r="I13" s="13">
        <f>$I$8*($J$8/H13)+($K$8*($L$8-$J$8)*H13)/(2*$L$8)</f>
        <v>22045.407685048602</v>
      </c>
      <c r="J13" s="13">
        <f>J8/H13</f>
        <v>7.3484692283495336</v>
      </c>
      <c r="K13" s="13">
        <f>1/J13</f>
        <v>0.13608276348795434</v>
      </c>
      <c r="L13" s="13">
        <f>H13/L8</f>
        <v>1.3608276348795436E-2</v>
      </c>
      <c r="M13" s="13">
        <f>($L$8-$J$8)*H13/$L$8</f>
        <v>73.484692283495349</v>
      </c>
      <c r="S13" s="3"/>
    </row>
    <row r="14" spans="1:19" x14ac:dyDescent="0.3">
      <c r="A14" s="3"/>
      <c r="S14" s="3"/>
    </row>
    <row r="15" spans="1:19" x14ac:dyDescent="0.3">
      <c r="A15" s="3"/>
      <c r="B15" s="6" t="s">
        <v>12</v>
      </c>
      <c r="C15" s="7" t="s">
        <v>13</v>
      </c>
      <c r="D15" s="8"/>
      <c r="O15" s="6" t="s">
        <v>12</v>
      </c>
      <c r="P15" s="7" t="s">
        <v>16</v>
      </c>
      <c r="Q15" s="8"/>
      <c r="S15" s="3"/>
    </row>
    <row r="16" spans="1:19" x14ac:dyDescent="0.3">
      <c r="A16" s="3"/>
      <c r="B16" s="5">
        <v>0.1</v>
      </c>
      <c r="C16" s="9" t="s">
        <v>14</v>
      </c>
      <c r="D16" s="9" t="s">
        <v>15</v>
      </c>
      <c r="O16" s="5">
        <v>0</v>
      </c>
      <c r="P16" s="9" t="s">
        <v>17</v>
      </c>
      <c r="Q16" s="9" t="s">
        <v>18</v>
      </c>
      <c r="S16" s="3"/>
    </row>
    <row r="17" spans="1:19" x14ac:dyDescent="0.3">
      <c r="A17" s="3"/>
      <c r="B17" s="5">
        <f>B16+0.2</f>
        <v>0.30000000000000004</v>
      </c>
      <c r="C17" s="5">
        <f>$H$13*B16</f>
        <v>8.1649658092772608</v>
      </c>
      <c r="D17" s="5">
        <f>$I$8*($J$8/C17)+($K$8*($L$8-$J$8)*C17)/(2*$L$8)</f>
        <v>111329.30880949544</v>
      </c>
      <c r="O17" s="5">
        <f>O16+0.2</f>
        <v>0.2</v>
      </c>
      <c r="P17" s="5">
        <f>$L$13*O16</f>
        <v>0</v>
      </c>
      <c r="Q17" s="5">
        <f>P17*($L$8-$J$8)</f>
        <v>0</v>
      </c>
      <c r="S17" s="3"/>
    </row>
    <row r="18" spans="1:19" x14ac:dyDescent="0.3">
      <c r="A18" s="3"/>
      <c r="B18" s="5">
        <f t="shared" ref="B18:B26" si="0">B17+0.2</f>
        <v>0.5</v>
      </c>
      <c r="C18" s="5">
        <f t="shared" ref="C18:C26" si="1">$H$13*B17</f>
        <v>24.494897427831788</v>
      </c>
      <c r="D18" s="5">
        <f t="shared" ref="D18:D26" si="2">$I$8*($J$8/C18)+($K$8*($L$8-$J$8)*C18)/(2*$L$8)</f>
        <v>40049.157294504948</v>
      </c>
      <c r="O18" s="5">
        <f t="shared" ref="O18:O50" si="3">O17+0.2</f>
        <v>0.4</v>
      </c>
      <c r="P18" s="5">
        <f t="shared" ref="P18:P50" si="4">$L$13*O17</f>
        <v>2.7216552697590874E-3</v>
      </c>
      <c r="Q18" s="5">
        <f t="shared" ref="Q18:Q27" si="5">P18*($L$8-$J$8)</f>
        <v>14.696938456699073</v>
      </c>
      <c r="S18" s="3"/>
    </row>
    <row r="19" spans="1:19" x14ac:dyDescent="0.3">
      <c r="A19" s="3"/>
      <c r="B19" s="5">
        <f t="shared" si="0"/>
        <v>0.7</v>
      </c>
      <c r="C19" s="5">
        <f t="shared" si="1"/>
        <v>40.824829046386306</v>
      </c>
      <c r="D19" s="5">
        <f t="shared" si="2"/>
        <v>27556.759606310752</v>
      </c>
      <c r="O19" s="5">
        <f t="shared" si="3"/>
        <v>0.60000000000000009</v>
      </c>
      <c r="P19" s="5">
        <f t="shared" si="4"/>
        <v>5.4433105395181747E-3</v>
      </c>
      <c r="Q19" s="5">
        <f t="shared" si="5"/>
        <v>29.393876913398145</v>
      </c>
      <c r="S19" s="3"/>
    </row>
    <row r="20" spans="1:19" x14ac:dyDescent="0.3">
      <c r="A20" s="3"/>
      <c r="B20" s="5">
        <f t="shared" si="0"/>
        <v>0.89999999999999991</v>
      </c>
      <c r="C20" s="5">
        <f t="shared" si="1"/>
        <v>57.154760664940824</v>
      </c>
      <c r="D20" s="5">
        <f t="shared" si="2"/>
        <v>23462.612464801728</v>
      </c>
      <c r="O20" s="5">
        <f t="shared" si="3"/>
        <v>0.8</v>
      </c>
      <c r="P20" s="5">
        <f t="shared" si="4"/>
        <v>8.164965809277263E-3</v>
      </c>
      <c r="Q20" s="5">
        <f t="shared" si="5"/>
        <v>44.090815370097218</v>
      </c>
      <c r="S20" s="3"/>
    </row>
    <row r="21" spans="1:19" x14ac:dyDescent="0.3">
      <c r="A21" s="3"/>
      <c r="B21" s="5">
        <f t="shared" si="0"/>
        <v>1.0999999999999999</v>
      </c>
      <c r="C21" s="5">
        <f t="shared" si="1"/>
        <v>73.484692283495349</v>
      </c>
      <c r="D21" s="5">
        <f t="shared" si="2"/>
        <v>22167.882172187761</v>
      </c>
      <c r="O21" s="5">
        <f t="shared" si="3"/>
        <v>1</v>
      </c>
      <c r="P21" s="5">
        <f t="shared" si="4"/>
        <v>1.0886621079036349E-2</v>
      </c>
      <c r="Q21" s="5">
        <f t="shared" si="5"/>
        <v>58.78775382679629</v>
      </c>
      <c r="S21" s="3"/>
    </row>
    <row r="22" spans="1:19" x14ac:dyDescent="0.3">
      <c r="A22" s="3"/>
      <c r="B22" s="5">
        <f t="shared" si="0"/>
        <v>1.2999999999999998</v>
      </c>
      <c r="C22" s="5">
        <f t="shared" si="1"/>
        <v>89.81462390204986</v>
      </c>
      <c r="D22" s="5">
        <f t="shared" si="2"/>
        <v>22145.614083617009</v>
      </c>
      <c r="O22" s="5">
        <f t="shared" si="3"/>
        <v>1.2</v>
      </c>
      <c r="P22" s="5">
        <f t="shared" si="4"/>
        <v>1.3608276348795436E-2</v>
      </c>
      <c r="Q22" s="5">
        <f t="shared" si="5"/>
        <v>73.484692283495349</v>
      </c>
      <c r="S22" s="3"/>
    </row>
    <row r="23" spans="1:19" x14ac:dyDescent="0.3">
      <c r="A23" s="3"/>
      <c r="B23" s="5">
        <f t="shared" si="0"/>
        <v>1.4999999999999998</v>
      </c>
      <c r="C23" s="5">
        <f t="shared" si="1"/>
        <v>106.14455552060438</v>
      </c>
      <c r="D23" s="5">
        <f t="shared" si="2"/>
        <v>22808.517951069516</v>
      </c>
      <c r="O23" s="5">
        <f t="shared" si="3"/>
        <v>1.4</v>
      </c>
      <c r="P23" s="5">
        <f t="shared" si="4"/>
        <v>1.6329931618554522E-2</v>
      </c>
      <c r="Q23" s="5">
        <f t="shared" si="5"/>
        <v>88.181630740194421</v>
      </c>
      <c r="S23" s="3"/>
    </row>
    <row r="24" spans="1:19" x14ac:dyDescent="0.3">
      <c r="A24" s="3"/>
      <c r="B24" s="5">
        <f t="shared" si="0"/>
        <v>1.6999999999999997</v>
      </c>
      <c r="C24" s="5">
        <f t="shared" si="1"/>
        <v>122.4744871391589</v>
      </c>
      <c r="D24" s="5">
        <f t="shared" si="2"/>
        <v>23882.524992135986</v>
      </c>
      <c r="O24" s="5">
        <f t="shared" si="3"/>
        <v>1.5999999999999999</v>
      </c>
      <c r="P24" s="5">
        <f t="shared" si="4"/>
        <v>1.9051586888313609E-2</v>
      </c>
      <c r="Q24" s="5">
        <f t="shared" si="5"/>
        <v>102.87856919689349</v>
      </c>
      <c r="S24" s="3"/>
    </row>
    <row r="25" spans="1:19" x14ac:dyDescent="0.3">
      <c r="A25" s="3"/>
      <c r="B25" s="5">
        <f t="shared" si="0"/>
        <v>1.8999999999999997</v>
      </c>
      <c r="C25" s="5">
        <f t="shared" si="1"/>
        <v>138.80441875771342</v>
      </c>
      <c r="D25" s="5">
        <f t="shared" si="2"/>
        <v>25222.539969070316</v>
      </c>
      <c r="O25" s="5">
        <f t="shared" si="3"/>
        <v>1.7999999999999998</v>
      </c>
      <c r="P25" s="5">
        <f t="shared" si="4"/>
        <v>2.1773242158072696E-2</v>
      </c>
      <c r="Q25" s="5">
        <f t="shared" si="5"/>
        <v>117.57550765359255</v>
      </c>
      <c r="S25" s="3"/>
    </row>
    <row r="26" spans="1:19" x14ac:dyDescent="0.3">
      <c r="A26" s="3"/>
      <c r="B26" s="5">
        <f t="shared" si="0"/>
        <v>2.0999999999999996</v>
      </c>
      <c r="C26" s="5">
        <f t="shared" si="1"/>
        <v>155.13435037626795</v>
      </c>
      <c r="D26" s="5">
        <f t="shared" si="2"/>
        <v>26744.560375808964</v>
      </c>
      <c r="O26" s="5">
        <f t="shared" si="3"/>
        <v>1.9999999999999998</v>
      </c>
      <c r="P26" s="5">
        <f t="shared" si="4"/>
        <v>2.4494897427831782E-2</v>
      </c>
      <c r="Q26" s="5">
        <f t="shared" si="5"/>
        <v>132.27244611029161</v>
      </c>
      <c r="S26" s="3"/>
    </row>
    <row r="27" spans="1:19" x14ac:dyDescent="0.3">
      <c r="A27" s="3"/>
      <c r="O27" s="5">
        <f t="shared" si="3"/>
        <v>2.1999999999999997</v>
      </c>
      <c r="P27" s="5">
        <f t="shared" si="4"/>
        <v>2.7216552697590869E-2</v>
      </c>
      <c r="Q27" s="5">
        <f t="shared" si="5"/>
        <v>146.9693845669907</v>
      </c>
      <c r="S27" s="3"/>
    </row>
    <row r="28" spans="1:19" x14ac:dyDescent="0.3">
      <c r="A28" s="3"/>
      <c r="O28" s="5">
        <f t="shared" si="3"/>
        <v>2.4</v>
      </c>
      <c r="P28" s="5">
        <f t="shared" si="4"/>
        <v>2.9938207967349955E-2</v>
      </c>
      <c r="Q28" s="5">
        <f t="shared" ref="Q28:Q47" si="6">Q17</f>
        <v>0</v>
      </c>
      <c r="S28" s="3"/>
    </row>
    <row r="29" spans="1:19" x14ac:dyDescent="0.3">
      <c r="A29" s="3"/>
      <c r="O29" s="5">
        <f t="shared" si="3"/>
        <v>2.6</v>
      </c>
      <c r="P29" s="5">
        <f t="shared" si="4"/>
        <v>3.2659863237109045E-2</v>
      </c>
      <c r="Q29" s="5">
        <f t="shared" si="6"/>
        <v>14.696938456699073</v>
      </c>
      <c r="S29" s="3"/>
    </row>
    <row r="30" spans="1:19" x14ac:dyDescent="0.3">
      <c r="A30" s="3"/>
      <c r="O30" s="5">
        <f t="shared" si="3"/>
        <v>2.8000000000000003</v>
      </c>
      <c r="P30" s="5">
        <f t="shared" si="4"/>
        <v>3.5381518506868131E-2</v>
      </c>
      <c r="Q30" s="5">
        <f t="shared" si="6"/>
        <v>29.393876913398145</v>
      </c>
      <c r="S30" s="3"/>
    </row>
    <row r="31" spans="1:19" x14ac:dyDescent="0.3">
      <c r="A31" s="3"/>
      <c r="O31" s="5">
        <f t="shared" si="3"/>
        <v>3.0000000000000004</v>
      </c>
      <c r="P31" s="5">
        <f t="shared" si="4"/>
        <v>3.8103173776627225E-2</v>
      </c>
      <c r="Q31" s="5">
        <f t="shared" si="6"/>
        <v>44.090815370097218</v>
      </c>
      <c r="S31" s="3"/>
    </row>
    <row r="32" spans="1:19" x14ac:dyDescent="0.3">
      <c r="A32" s="3"/>
      <c r="O32" s="5">
        <f t="shared" si="3"/>
        <v>3.2000000000000006</v>
      </c>
      <c r="P32" s="5">
        <f t="shared" si="4"/>
        <v>4.0824829046386311E-2</v>
      </c>
      <c r="Q32" s="5">
        <f t="shared" si="6"/>
        <v>58.78775382679629</v>
      </c>
      <c r="S32" s="3"/>
    </row>
    <row r="33" spans="1:19" x14ac:dyDescent="0.3">
      <c r="A33" s="3"/>
      <c r="O33" s="5">
        <f t="shared" si="3"/>
        <v>3.4000000000000008</v>
      </c>
      <c r="P33" s="5">
        <f t="shared" si="4"/>
        <v>4.3546484316145405E-2</v>
      </c>
      <c r="Q33" s="5">
        <f t="shared" si="6"/>
        <v>73.484692283495349</v>
      </c>
      <c r="S33" s="3"/>
    </row>
    <row r="34" spans="1:19" x14ac:dyDescent="0.3">
      <c r="A34" s="3"/>
      <c r="O34" s="5">
        <f t="shared" si="3"/>
        <v>3.600000000000001</v>
      </c>
      <c r="P34" s="5">
        <f t="shared" si="4"/>
        <v>4.6268139585904491E-2</v>
      </c>
      <c r="Q34" s="5">
        <f t="shared" si="6"/>
        <v>88.181630740194421</v>
      </c>
      <c r="S34" s="3"/>
    </row>
    <row r="35" spans="1:19" x14ac:dyDescent="0.3">
      <c r="A35" s="3"/>
      <c r="O35" s="5">
        <f t="shared" si="3"/>
        <v>3.8000000000000012</v>
      </c>
      <c r="P35" s="5">
        <f t="shared" si="4"/>
        <v>4.8989794855663585E-2</v>
      </c>
      <c r="Q35" s="5">
        <f t="shared" si="6"/>
        <v>102.87856919689349</v>
      </c>
      <c r="S35" s="3"/>
    </row>
    <row r="36" spans="1:19" x14ac:dyDescent="0.3">
      <c r="A36" s="3"/>
      <c r="O36" s="5">
        <f t="shared" si="3"/>
        <v>4.0000000000000009</v>
      </c>
      <c r="P36" s="5">
        <f t="shared" si="4"/>
        <v>5.1711450125422671E-2</v>
      </c>
      <c r="Q36" s="5">
        <f t="shared" si="6"/>
        <v>117.57550765359255</v>
      </c>
      <c r="S36" s="3"/>
    </row>
    <row r="37" spans="1:19" x14ac:dyDescent="0.3">
      <c r="A37" s="3"/>
      <c r="O37" s="5">
        <f t="shared" si="3"/>
        <v>4.2000000000000011</v>
      </c>
      <c r="P37" s="5">
        <f t="shared" si="4"/>
        <v>5.4433105395181758E-2</v>
      </c>
      <c r="Q37" s="5">
        <f t="shared" si="6"/>
        <v>132.27244611029161</v>
      </c>
      <c r="S37" s="3"/>
    </row>
    <row r="38" spans="1:19" x14ac:dyDescent="0.3">
      <c r="A38" s="3"/>
      <c r="O38" s="5">
        <f t="shared" si="3"/>
        <v>4.4000000000000012</v>
      </c>
      <c r="P38" s="5">
        <f t="shared" si="4"/>
        <v>5.7154760664940844E-2</v>
      </c>
      <c r="Q38" s="5">
        <f t="shared" si="6"/>
        <v>146.9693845669907</v>
      </c>
      <c r="S38" s="3"/>
    </row>
    <row r="39" spans="1:19" x14ac:dyDescent="0.3">
      <c r="A39" s="3"/>
      <c r="O39" s="5">
        <f t="shared" si="3"/>
        <v>4.6000000000000014</v>
      </c>
      <c r="P39" s="5">
        <f t="shared" si="4"/>
        <v>5.9876415934699938E-2</v>
      </c>
      <c r="Q39" s="5">
        <f t="shared" si="6"/>
        <v>0</v>
      </c>
      <c r="S39" s="3"/>
    </row>
    <row r="40" spans="1:19" x14ac:dyDescent="0.3">
      <c r="A40" s="3"/>
      <c r="O40" s="5">
        <f t="shared" si="3"/>
        <v>4.8000000000000016</v>
      </c>
      <c r="P40" s="5">
        <f t="shared" si="4"/>
        <v>6.2598071204459024E-2</v>
      </c>
      <c r="Q40" s="5">
        <f t="shared" si="6"/>
        <v>14.696938456699073</v>
      </c>
      <c r="S40" s="3"/>
    </row>
    <row r="41" spans="1:19" x14ac:dyDescent="0.3">
      <c r="A41" s="3"/>
      <c r="O41" s="5">
        <f t="shared" si="3"/>
        <v>5.0000000000000018</v>
      </c>
      <c r="P41" s="5">
        <f t="shared" si="4"/>
        <v>6.5319726474218118E-2</v>
      </c>
      <c r="Q41" s="5">
        <f t="shared" si="6"/>
        <v>29.393876913398145</v>
      </c>
      <c r="S41" s="3"/>
    </row>
    <row r="42" spans="1:19" x14ac:dyDescent="0.3">
      <c r="A42" s="3"/>
      <c r="O42" s="5">
        <f t="shared" si="3"/>
        <v>5.200000000000002</v>
      </c>
      <c r="P42" s="5">
        <f t="shared" si="4"/>
        <v>6.8041381743977197E-2</v>
      </c>
      <c r="Q42" s="5">
        <f t="shared" si="6"/>
        <v>44.090815370097218</v>
      </c>
      <c r="S42" s="3"/>
    </row>
    <row r="43" spans="1:19" x14ac:dyDescent="0.3">
      <c r="A43" s="3"/>
      <c r="O43" s="5">
        <f t="shared" si="3"/>
        <v>5.4000000000000021</v>
      </c>
      <c r="P43" s="5">
        <f t="shared" si="4"/>
        <v>7.0763037013736291E-2</v>
      </c>
      <c r="Q43" s="5">
        <f t="shared" si="6"/>
        <v>58.78775382679629</v>
      </c>
      <c r="S43" s="3"/>
    </row>
    <row r="44" spans="1:19" x14ac:dyDescent="0.3">
      <c r="A44" s="3"/>
      <c r="O44" s="5">
        <f t="shared" si="3"/>
        <v>5.6000000000000023</v>
      </c>
      <c r="P44" s="5">
        <f t="shared" si="4"/>
        <v>7.3484692283495384E-2</v>
      </c>
      <c r="Q44" s="5">
        <f t="shared" si="6"/>
        <v>73.484692283495349</v>
      </c>
      <c r="S44" s="3"/>
    </row>
    <row r="45" spans="1:19" x14ac:dyDescent="0.3">
      <c r="A45" s="3"/>
      <c r="O45" s="5">
        <f t="shared" si="3"/>
        <v>5.8000000000000025</v>
      </c>
      <c r="P45" s="5">
        <f t="shared" si="4"/>
        <v>7.6206347553254478E-2</v>
      </c>
      <c r="Q45" s="5">
        <f t="shared" si="6"/>
        <v>88.181630740194421</v>
      </c>
      <c r="S45" s="3"/>
    </row>
    <row r="46" spans="1:19" x14ac:dyDescent="0.3">
      <c r="A46" s="3"/>
      <c r="O46" s="5">
        <f t="shared" si="3"/>
        <v>6.0000000000000027</v>
      </c>
      <c r="P46" s="5">
        <f t="shared" si="4"/>
        <v>7.8928002823013557E-2</v>
      </c>
      <c r="Q46" s="5">
        <f t="shared" si="6"/>
        <v>102.87856919689349</v>
      </c>
      <c r="S46" s="3"/>
    </row>
    <row r="47" spans="1:19" x14ac:dyDescent="0.3">
      <c r="A47" s="3"/>
      <c r="O47" s="5">
        <f t="shared" si="3"/>
        <v>6.2000000000000028</v>
      </c>
      <c r="P47" s="5">
        <f t="shared" si="4"/>
        <v>8.1649658092772651E-2</v>
      </c>
      <c r="Q47" s="5">
        <f t="shared" si="6"/>
        <v>117.57550765359255</v>
      </c>
      <c r="S47" s="3"/>
    </row>
    <row r="48" spans="1:19" x14ac:dyDescent="0.3">
      <c r="A48" s="3"/>
      <c r="O48" s="5">
        <f t="shared" si="3"/>
        <v>6.400000000000003</v>
      </c>
      <c r="P48" s="5">
        <f t="shared" si="4"/>
        <v>8.4371313362531744E-2</v>
      </c>
      <c r="Q48" s="5">
        <f t="shared" ref="Q48:Q50" si="7">Q37</f>
        <v>132.27244611029161</v>
      </c>
      <c r="S48" s="3"/>
    </row>
    <row r="49" spans="1:19" x14ac:dyDescent="0.3">
      <c r="A49" s="3"/>
      <c r="O49" s="5">
        <f t="shared" si="3"/>
        <v>6.6000000000000032</v>
      </c>
      <c r="P49" s="5">
        <f t="shared" si="4"/>
        <v>8.7092968632290838E-2</v>
      </c>
      <c r="Q49" s="5">
        <f t="shared" si="7"/>
        <v>146.9693845669907</v>
      </c>
      <c r="S49" s="3"/>
    </row>
    <row r="50" spans="1:19" x14ac:dyDescent="0.3">
      <c r="A50" s="3"/>
      <c r="O50" s="5">
        <f t="shared" si="3"/>
        <v>6.8000000000000034</v>
      </c>
      <c r="P50" s="5">
        <f t="shared" si="4"/>
        <v>8.9814623902049917E-2</v>
      </c>
      <c r="Q50" s="5">
        <f t="shared" si="7"/>
        <v>0</v>
      </c>
      <c r="S50" s="3"/>
    </row>
    <row r="51" spans="1:19" x14ac:dyDescent="0.3">
      <c r="A51" s="3"/>
      <c r="S51" s="3"/>
    </row>
    <row r="52" spans="1:19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</sheetData>
  <mergeCells count="5">
    <mergeCell ref="D3:O3"/>
    <mergeCell ref="I6:L6"/>
    <mergeCell ref="H11:M11"/>
    <mergeCell ref="C15:D15"/>
    <mergeCell ref="P15:Q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68580</xdr:colOff>
                <xdr:row>10</xdr:row>
                <xdr:rowOff>76200</xdr:rowOff>
              </from>
              <to>
                <xdr:col>3</xdr:col>
                <xdr:colOff>586740</xdr:colOff>
                <xdr:row>12</xdr:row>
                <xdr:rowOff>137160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autoPict="0" r:id="rId6">
            <anchor moveWithCells="1">
              <from>
                <xdr:col>14</xdr:col>
                <xdr:colOff>213360</xdr:colOff>
                <xdr:row>10</xdr:row>
                <xdr:rowOff>106680</xdr:rowOff>
              </from>
              <to>
                <xdr:col>16</xdr:col>
                <xdr:colOff>937260</xdr:colOff>
                <xdr:row>12</xdr:row>
                <xdr:rowOff>167640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E2:R15"/>
  <sheetViews>
    <sheetView workbookViewId="0">
      <selection activeCell="V9" sqref="V9"/>
    </sheetView>
  </sheetViews>
  <sheetFormatPr defaultColWidth="9.109375" defaultRowHeight="14.4" x14ac:dyDescent="0.3"/>
  <cols>
    <col min="1" max="4" width="9.109375" style="1"/>
    <col min="5" max="5" width="3.44140625" style="1" customWidth="1"/>
    <col min="6" max="17" width="9.109375" style="1"/>
    <col min="18" max="18" width="3.33203125" style="1" customWidth="1"/>
    <col min="19" max="16384" width="9.109375" style="1"/>
  </cols>
  <sheetData>
    <row r="2" spans="5:18" x14ac:dyDescent="0.3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5:18" x14ac:dyDescent="0.3">
      <c r="E3" s="3"/>
      <c r="R3" s="3"/>
    </row>
    <row r="4" spans="5:18" x14ac:dyDescent="0.3">
      <c r="E4" s="3"/>
      <c r="R4" s="3"/>
    </row>
    <row r="5" spans="5:18" x14ac:dyDescent="0.3">
      <c r="E5" s="3"/>
      <c r="R5" s="3"/>
    </row>
    <row r="6" spans="5:18" x14ac:dyDescent="0.3">
      <c r="E6" s="3"/>
      <c r="R6" s="3"/>
    </row>
    <row r="7" spans="5:18" x14ac:dyDescent="0.3">
      <c r="E7" s="3"/>
      <c r="R7" s="3"/>
    </row>
    <row r="8" spans="5:18" x14ac:dyDescent="0.3">
      <c r="E8" s="3"/>
      <c r="R8" s="3"/>
    </row>
    <row r="9" spans="5:18" x14ac:dyDescent="0.3">
      <c r="E9" s="3"/>
      <c r="R9" s="3"/>
    </row>
    <row r="10" spans="5:18" x14ac:dyDescent="0.3">
      <c r="E10" s="3"/>
      <c r="R10" s="3"/>
    </row>
    <row r="11" spans="5:18" x14ac:dyDescent="0.3">
      <c r="E11" s="3"/>
      <c r="R11" s="3"/>
    </row>
    <row r="12" spans="5:18" x14ac:dyDescent="0.3">
      <c r="E12" s="3"/>
      <c r="R12" s="3"/>
    </row>
    <row r="13" spans="5:18" x14ac:dyDescent="0.3">
      <c r="E13" s="3"/>
      <c r="R13" s="3"/>
    </row>
    <row r="14" spans="5:18" x14ac:dyDescent="0.3">
      <c r="E14" s="3"/>
      <c r="R14" s="3"/>
    </row>
    <row r="15" spans="5:18" x14ac:dyDescent="0.3"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2</vt:i4>
      </vt:variant>
    </vt:vector>
  </HeadingPairs>
  <TitlesOfParts>
    <vt:vector size="5" baseType="lpstr">
      <vt:lpstr>Основная задача</vt:lpstr>
      <vt:lpstr>p=10d</vt:lpstr>
      <vt:lpstr>p=d</vt:lpstr>
      <vt:lpstr>Диаграмма1</vt:lpstr>
      <vt:lpstr>Диаграмма2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mron</cp:lastModifiedBy>
  <dcterms:created xsi:type="dcterms:W3CDTF">2016-02-18T15:33:32Z</dcterms:created>
  <dcterms:modified xsi:type="dcterms:W3CDTF">2017-03-19T15:07:12Z</dcterms:modified>
</cp:coreProperties>
</file>