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night\Desktop\Учеба!\4 семестр\ИСИТ 4 семестр\Лабораторные\Лаба 5\"/>
    </mc:Choice>
  </mc:AlternateContent>
  <bookViews>
    <workbookView xWindow="0" yWindow="0" windowWidth="20496" windowHeight="7668" activeTab="1"/>
  </bookViews>
  <sheets>
    <sheet name="Основная задача" sheetId="1" r:id="rId1"/>
    <sheet name="Дополнительная задача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2" l="1"/>
  <c r="J18" i="2"/>
  <c r="K18" i="2"/>
  <c r="L18" i="2"/>
  <c r="M15" i="2"/>
  <c r="J17" i="2"/>
  <c r="K17" i="2"/>
  <c r="L17" i="2"/>
  <c r="J16" i="2"/>
  <c r="K16" i="2"/>
  <c r="J15" i="2"/>
  <c r="I15" i="2"/>
  <c r="I18" i="1" l="1"/>
  <c r="J18" i="1"/>
  <c r="K18" i="1"/>
  <c r="L18" i="1"/>
  <c r="J15" i="1"/>
  <c r="K16" i="1"/>
  <c r="K17" i="1"/>
  <c r="L17" i="1"/>
  <c r="J17" i="1" l="1"/>
  <c r="M17" i="1"/>
  <c r="J16" i="1"/>
  <c r="I15" i="1"/>
  <c r="M15" i="1" s="1"/>
  <c r="M16" i="1" l="1"/>
  <c r="M18" i="2"/>
  <c r="M18" i="1"/>
</calcChain>
</file>

<file path=xl/sharedStrings.xml><?xml version="1.0" encoding="utf-8"?>
<sst xmlns="http://schemas.openxmlformats.org/spreadsheetml/2006/main" count="52" uniqueCount="17">
  <si>
    <t>Моделирование задач линейного программирования</t>
  </si>
  <si>
    <t>Исходные данные</t>
  </si>
  <si>
    <t>Станки</t>
  </si>
  <si>
    <t>А1</t>
  </si>
  <si>
    <t>А2</t>
  </si>
  <si>
    <t>А3</t>
  </si>
  <si>
    <t>Прибыль</t>
  </si>
  <si>
    <t>Норма времени на выпуск 1 детали в час</t>
  </si>
  <si>
    <t>В1</t>
  </si>
  <si>
    <t>В2</t>
  </si>
  <si>
    <t>В3</t>
  </si>
  <si>
    <t>В4</t>
  </si>
  <si>
    <t>Фонд Времени</t>
  </si>
  <si>
    <t>Работы, час</t>
  </si>
  <si>
    <t>Результаты расчётов</t>
  </si>
  <si>
    <t>Количество выпускаемых деталей</t>
  </si>
  <si>
    <t>Всего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</si>
</sst>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b/>
      <sz val="12"/>
      <color rgb="FF92D05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2"/>
      <color theme="4"/>
      <name val="Calibri"/>
      <family val="2"/>
      <charset val="204"/>
      <scheme val="minor"/>
    </font>
    <font>
      <b/>
      <sz val="14"/>
      <color theme="4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1" fillId="2" borderId="7" xfId="0" applyFont="1" applyFill="1" applyBorder="1"/>
    <xf numFmtId="0" fontId="0" fillId="3" borderId="0" xfId="0" applyFill="1"/>
    <xf numFmtId="0" fontId="2" fillId="3" borderId="1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/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5" fillId="3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72AF2F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8"/>
  <sheetViews>
    <sheetView topLeftCell="A4" workbookViewId="0">
      <selection activeCell="P17" sqref="P17"/>
    </sheetView>
  </sheetViews>
  <sheetFormatPr defaultColWidth="9.109375" defaultRowHeight="14.4" x14ac:dyDescent="0.3"/>
  <cols>
    <col min="1" max="6" width="9.109375" style="1"/>
    <col min="7" max="7" width="5.6640625" style="1" customWidth="1"/>
    <col min="8" max="8" width="10.33203125" style="1" customWidth="1"/>
    <col min="9" max="9" width="11.44140625" style="1" customWidth="1"/>
    <col min="10" max="10" width="12.88671875" style="1" customWidth="1"/>
    <col min="11" max="11" width="10.88671875" style="1" customWidth="1"/>
    <col min="12" max="12" width="10.33203125" style="1" customWidth="1"/>
    <col min="13" max="16384" width="9.109375" style="1"/>
  </cols>
  <sheetData>
    <row r="1" spans="1:35" ht="18" x14ac:dyDescent="0.35">
      <c r="F1" s="19" t="s">
        <v>0</v>
      </c>
      <c r="G1" s="20"/>
      <c r="H1" s="20"/>
      <c r="I1" s="20"/>
      <c r="J1" s="20"/>
      <c r="K1" s="20"/>
      <c r="L1" s="20"/>
      <c r="M1" s="20"/>
      <c r="N1" s="20"/>
      <c r="O1" s="20"/>
    </row>
    <row r="3" spans="1:35" ht="9" customHeigh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</row>
    <row r="4" spans="1:35" ht="15.6" x14ac:dyDescent="0.3">
      <c r="H4" s="12" t="s">
        <v>1</v>
      </c>
      <c r="I4" s="13"/>
      <c r="J4" s="13"/>
      <c r="K4" s="13"/>
      <c r="L4" s="13"/>
      <c r="M4" s="13"/>
      <c r="N4" s="14"/>
    </row>
    <row r="5" spans="1:35" ht="15.6" x14ac:dyDescent="0.3">
      <c r="H5" s="10" t="s">
        <v>2</v>
      </c>
      <c r="I5" s="12" t="s">
        <v>7</v>
      </c>
      <c r="J5" s="13"/>
      <c r="K5" s="13"/>
      <c r="L5" s="14"/>
      <c r="M5" s="12" t="s">
        <v>12</v>
      </c>
      <c r="N5" s="14"/>
    </row>
    <row r="6" spans="1:35" ht="15.6" x14ac:dyDescent="0.3">
      <c r="H6" s="11"/>
      <c r="I6" s="6" t="s">
        <v>8</v>
      </c>
      <c r="J6" s="6" t="s">
        <v>9</v>
      </c>
      <c r="K6" s="6" t="s">
        <v>10</v>
      </c>
      <c r="L6" s="6" t="s">
        <v>11</v>
      </c>
      <c r="M6" s="12" t="s">
        <v>13</v>
      </c>
      <c r="N6" s="14"/>
    </row>
    <row r="7" spans="1:35" ht="15.6" x14ac:dyDescent="0.3">
      <c r="H7" s="5" t="s">
        <v>3</v>
      </c>
      <c r="I7" s="5">
        <v>2</v>
      </c>
      <c r="J7" s="5">
        <v>4</v>
      </c>
      <c r="K7" s="5">
        <v>0</v>
      </c>
      <c r="L7" s="5">
        <v>8</v>
      </c>
      <c r="M7" s="8">
        <v>12</v>
      </c>
      <c r="N7" s="9"/>
    </row>
    <row r="8" spans="1:35" ht="15.6" x14ac:dyDescent="0.3">
      <c r="H8" s="5" t="s">
        <v>4</v>
      </c>
      <c r="I8" s="5">
        <v>7</v>
      </c>
      <c r="J8" s="5">
        <v>2</v>
      </c>
      <c r="K8" s="5">
        <v>2</v>
      </c>
      <c r="L8" s="5">
        <v>6</v>
      </c>
      <c r="M8" s="8">
        <v>8</v>
      </c>
      <c r="N8" s="9"/>
    </row>
    <row r="9" spans="1:35" ht="15.6" x14ac:dyDescent="0.3">
      <c r="H9" s="5" t="s">
        <v>5</v>
      </c>
      <c r="I9" s="5">
        <v>5</v>
      </c>
      <c r="J9" s="5">
        <v>8</v>
      </c>
      <c r="K9" s="5">
        <v>4</v>
      </c>
      <c r="L9" s="5">
        <v>3</v>
      </c>
      <c r="M9" s="8">
        <v>48</v>
      </c>
      <c r="N9" s="9"/>
    </row>
    <row r="10" spans="1:35" ht="15.6" x14ac:dyDescent="0.3">
      <c r="H10" s="4" t="s">
        <v>6</v>
      </c>
      <c r="I10" s="5">
        <v>3</v>
      </c>
      <c r="J10" s="5">
        <v>4</v>
      </c>
      <c r="K10" s="5">
        <v>3</v>
      </c>
      <c r="L10" s="5">
        <v>1</v>
      </c>
      <c r="M10" s="21"/>
      <c r="N10" s="22"/>
    </row>
    <row r="11" spans="1:35" ht="15.6" x14ac:dyDescent="0.3">
      <c r="H11" s="2"/>
      <c r="I11" s="2"/>
      <c r="J11" s="2"/>
      <c r="K11" s="2"/>
      <c r="L11" s="2"/>
      <c r="M11" s="2"/>
      <c r="N11" s="2"/>
    </row>
    <row r="12" spans="1:35" ht="15.6" x14ac:dyDescent="0.3">
      <c r="H12" s="12" t="s">
        <v>14</v>
      </c>
      <c r="I12" s="13"/>
      <c r="J12" s="13"/>
      <c r="K12" s="13"/>
      <c r="L12" s="13"/>
      <c r="M12" s="13"/>
      <c r="N12" s="14"/>
    </row>
    <row r="13" spans="1:35" ht="15.6" x14ac:dyDescent="0.3">
      <c r="H13" s="10" t="s">
        <v>2</v>
      </c>
      <c r="I13" s="12" t="s">
        <v>15</v>
      </c>
      <c r="J13" s="13"/>
      <c r="K13" s="13"/>
      <c r="L13" s="14"/>
      <c r="M13" s="15" t="s">
        <v>16</v>
      </c>
      <c r="N13" s="16"/>
    </row>
    <row r="14" spans="1:35" ht="15.6" x14ac:dyDescent="0.3">
      <c r="H14" s="11"/>
      <c r="I14" s="5" t="s">
        <v>8</v>
      </c>
      <c r="J14" s="5" t="s">
        <v>9</v>
      </c>
      <c r="K14" s="5" t="s">
        <v>10</v>
      </c>
      <c r="L14" s="5" t="s">
        <v>11</v>
      </c>
      <c r="M14" s="17"/>
      <c r="N14" s="18"/>
    </row>
    <row r="15" spans="1:35" ht="15.6" x14ac:dyDescent="0.3">
      <c r="H15" s="5" t="s">
        <v>3</v>
      </c>
      <c r="I15" s="7">
        <f>$M7/I7</f>
        <v>6</v>
      </c>
      <c r="J15" s="7">
        <f>$M7/J7</f>
        <v>3</v>
      </c>
      <c r="K15" s="7">
        <v>0</v>
      </c>
      <c r="L15" s="7">
        <v>1</v>
      </c>
      <c r="M15" s="8">
        <f>I15+J15+K15+L15</f>
        <v>10</v>
      </c>
      <c r="N15" s="9"/>
    </row>
    <row r="16" spans="1:35" ht="15.6" x14ac:dyDescent="0.3">
      <c r="H16" s="5" t="s">
        <v>4</v>
      </c>
      <c r="I16" s="7">
        <v>1</v>
      </c>
      <c r="J16" s="7">
        <f>$M8/J8</f>
        <v>4</v>
      </c>
      <c r="K16" s="7">
        <f>$M8/K8</f>
        <v>4</v>
      </c>
      <c r="L16" s="7">
        <v>1</v>
      </c>
      <c r="M16" s="8">
        <f t="shared" ref="M16:M18" si="0">I16+J16+K16+L16</f>
        <v>10</v>
      </c>
      <c r="N16" s="9"/>
    </row>
    <row r="17" spans="8:14" ht="15.6" x14ac:dyDescent="0.3">
      <c r="H17" s="5" t="s">
        <v>5</v>
      </c>
      <c r="I17" s="7">
        <v>9</v>
      </c>
      <c r="J17" s="7">
        <f>$M9/J9</f>
        <v>6</v>
      </c>
      <c r="K17" s="7">
        <f>$M9/K9</f>
        <v>12</v>
      </c>
      <c r="L17" s="7">
        <f>$M9/L9</f>
        <v>16</v>
      </c>
      <c r="M17" s="8">
        <f t="shared" si="0"/>
        <v>43</v>
      </c>
      <c r="N17" s="9"/>
    </row>
    <row r="18" spans="8:14" ht="15.6" x14ac:dyDescent="0.3">
      <c r="H18" s="4" t="s">
        <v>6</v>
      </c>
      <c r="I18" s="7">
        <f>I15*I10+I16*I10+I17*I10</f>
        <v>48</v>
      </c>
      <c r="J18" s="7">
        <f>J15*J10+J16*J10+J17*J10</f>
        <v>52</v>
      </c>
      <c r="K18" s="7">
        <f t="shared" ref="K18:L18" si="1">K15*K10+K16*K10+K17*K10</f>
        <v>48</v>
      </c>
      <c r="L18" s="7">
        <f t="shared" si="1"/>
        <v>18</v>
      </c>
      <c r="M18" s="8">
        <f t="shared" si="0"/>
        <v>166</v>
      </c>
      <c r="N18" s="9"/>
    </row>
  </sheetData>
  <mergeCells count="18">
    <mergeCell ref="H12:N12"/>
    <mergeCell ref="F1:O1"/>
    <mergeCell ref="H4:N4"/>
    <mergeCell ref="H5:H6"/>
    <mergeCell ref="I5:L5"/>
    <mergeCell ref="M6:N6"/>
    <mergeCell ref="M7:N7"/>
    <mergeCell ref="M8:N8"/>
    <mergeCell ref="M9:N9"/>
    <mergeCell ref="M10:N10"/>
    <mergeCell ref="M5:N5"/>
    <mergeCell ref="M18:N18"/>
    <mergeCell ref="H13:H14"/>
    <mergeCell ref="I13:L13"/>
    <mergeCell ref="M13:N14"/>
    <mergeCell ref="M15:N15"/>
    <mergeCell ref="M16:N16"/>
    <mergeCell ref="M17:N17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8"/>
  <sheetViews>
    <sheetView tabSelected="1" workbookViewId="0">
      <selection activeCell="F8" sqref="F8"/>
    </sheetView>
  </sheetViews>
  <sheetFormatPr defaultColWidth="9.109375" defaultRowHeight="14.4" x14ac:dyDescent="0.3"/>
  <cols>
    <col min="1" max="6" width="9.109375" style="1"/>
    <col min="7" max="7" width="5.6640625" style="1" customWidth="1"/>
    <col min="8" max="8" width="10.33203125" style="1" customWidth="1"/>
    <col min="9" max="9" width="11.44140625" style="1" customWidth="1"/>
    <col min="10" max="10" width="12.88671875" style="1" customWidth="1"/>
    <col min="11" max="11" width="10.88671875" style="1" customWidth="1"/>
    <col min="12" max="12" width="10.33203125" style="1" customWidth="1"/>
    <col min="13" max="16384" width="9.109375" style="1"/>
  </cols>
  <sheetData>
    <row r="1" spans="1:35" ht="18" x14ac:dyDescent="0.35">
      <c r="F1" s="19" t="s">
        <v>0</v>
      </c>
      <c r="G1" s="20"/>
      <c r="H1" s="20"/>
      <c r="I1" s="20"/>
      <c r="J1" s="20"/>
      <c r="K1" s="20"/>
      <c r="L1" s="20"/>
      <c r="M1" s="20"/>
      <c r="N1" s="20"/>
      <c r="O1" s="20"/>
    </row>
    <row r="3" spans="1:35" ht="9" customHeight="1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</row>
    <row r="4" spans="1:35" ht="15.6" x14ac:dyDescent="0.3">
      <c r="H4" s="12" t="s">
        <v>1</v>
      </c>
      <c r="I4" s="13"/>
      <c r="J4" s="13"/>
      <c r="K4" s="13"/>
      <c r="L4" s="13"/>
      <c r="M4" s="13"/>
      <c r="N4" s="14"/>
    </row>
    <row r="5" spans="1:35" ht="15.6" x14ac:dyDescent="0.3">
      <c r="H5" s="10" t="s">
        <v>2</v>
      </c>
      <c r="I5" s="12" t="s">
        <v>7</v>
      </c>
      <c r="J5" s="13"/>
      <c r="K5" s="13"/>
      <c r="L5" s="14"/>
      <c r="M5" s="12" t="s">
        <v>12</v>
      </c>
      <c r="N5" s="14"/>
    </row>
    <row r="6" spans="1:35" ht="15.6" x14ac:dyDescent="0.3">
      <c r="H6" s="23"/>
      <c r="I6" s="5" t="s">
        <v>8</v>
      </c>
      <c r="J6" s="5" t="s">
        <v>9</v>
      </c>
      <c r="K6" s="5" t="s">
        <v>10</v>
      </c>
      <c r="L6" s="5" t="s">
        <v>11</v>
      </c>
      <c r="M6" s="12" t="s">
        <v>13</v>
      </c>
      <c r="N6" s="14"/>
    </row>
    <row r="7" spans="1:35" ht="15.6" x14ac:dyDescent="0.3">
      <c r="H7" s="5" t="s">
        <v>3</v>
      </c>
      <c r="I7" s="5">
        <v>2</v>
      </c>
      <c r="J7" s="5">
        <v>4</v>
      </c>
      <c r="K7" s="5">
        <v>0</v>
      </c>
      <c r="L7" s="5">
        <v>8</v>
      </c>
      <c r="M7" s="8">
        <v>12</v>
      </c>
      <c r="N7" s="9"/>
    </row>
    <row r="8" spans="1:35" ht="15.6" x14ac:dyDescent="0.3">
      <c r="H8" s="5" t="s">
        <v>4</v>
      </c>
      <c r="I8" s="5">
        <v>7</v>
      </c>
      <c r="J8" s="5">
        <v>2</v>
      </c>
      <c r="K8" s="5">
        <v>2</v>
      </c>
      <c r="L8" s="5">
        <v>6</v>
      </c>
      <c r="M8" s="8">
        <v>8</v>
      </c>
      <c r="N8" s="9"/>
    </row>
    <row r="9" spans="1:35" ht="15.6" x14ac:dyDescent="0.3">
      <c r="H9" s="5" t="s">
        <v>5</v>
      </c>
      <c r="I9" s="5">
        <v>5</v>
      </c>
      <c r="J9" s="5">
        <v>8</v>
      </c>
      <c r="K9" s="5">
        <v>4</v>
      </c>
      <c r="L9" s="5">
        <v>3</v>
      </c>
      <c r="M9" s="8">
        <v>24</v>
      </c>
      <c r="N9" s="9"/>
    </row>
    <row r="10" spans="1:35" ht="15.6" x14ac:dyDescent="0.3">
      <c r="H10" s="4" t="s">
        <v>6</v>
      </c>
      <c r="I10" s="5">
        <v>3</v>
      </c>
      <c r="J10" s="5">
        <v>4</v>
      </c>
      <c r="K10" s="5">
        <v>3</v>
      </c>
      <c r="L10" s="5">
        <v>1</v>
      </c>
      <c r="M10" s="21"/>
      <c r="N10" s="22"/>
    </row>
    <row r="11" spans="1:35" ht="15.6" x14ac:dyDescent="0.3">
      <c r="H11" s="2"/>
      <c r="I11" s="2"/>
      <c r="J11" s="2"/>
      <c r="K11" s="2"/>
      <c r="L11" s="2"/>
      <c r="M11" s="2"/>
      <c r="N11" s="2"/>
    </row>
    <row r="12" spans="1:35" ht="15.6" x14ac:dyDescent="0.3">
      <c r="H12" s="12" t="s">
        <v>14</v>
      </c>
      <c r="I12" s="13"/>
      <c r="J12" s="13"/>
      <c r="K12" s="13"/>
      <c r="L12" s="13"/>
      <c r="M12" s="13"/>
      <c r="N12" s="14"/>
    </row>
    <row r="13" spans="1:35" ht="15.6" x14ac:dyDescent="0.3">
      <c r="H13" s="10" t="s">
        <v>2</v>
      </c>
      <c r="I13" s="12" t="s">
        <v>15</v>
      </c>
      <c r="J13" s="13"/>
      <c r="K13" s="13"/>
      <c r="L13" s="14"/>
      <c r="M13" s="15" t="s">
        <v>16</v>
      </c>
      <c r="N13" s="16"/>
    </row>
    <row r="14" spans="1:35" ht="15.6" x14ac:dyDescent="0.3">
      <c r="H14" s="11"/>
      <c r="I14" s="5" t="s">
        <v>8</v>
      </c>
      <c r="J14" s="5" t="s">
        <v>9</v>
      </c>
      <c r="K14" s="5" t="s">
        <v>10</v>
      </c>
      <c r="L14" s="5" t="s">
        <v>11</v>
      </c>
      <c r="M14" s="17"/>
      <c r="N14" s="18"/>
    </row>
    <row r="15" spans="1:35" ht="15.6" x14ac:dyDescent="0.3">
      <c r="H15" s="5" t="s">
        <v>3</v>
      </c>
      <c r="I15" s="7">
        <f>$M7/I7</f>
        <v>6</v>
      </c>
      <c r="J15" s="7">
        <f t="shared" ref="J15:L15" si="0">$M7/J7</f>
        <v>3</v>
      </c>
      <c r="K15" s="7">
        <v>0</v>
      </c>
      <c r="L15" s="7">
        <v>1</v>
      </c>
      <c r="M15" s="8">
        <f>I15+J15+K15+L15</f>
        <v>10</v>
      </c>
      <c r="N15" s="9"/>
    </row>
    <row r="16" spans="1:35" ht="15.6" x14ac:dyDescent="0.3">
      <c r="H16" s="5" t="s">
        <v>4</v>
      </c>
      <c r="I16" s="7">
        <v>1</v>
      </c>
      <c r="J16" s="7">
        <f t="shared" ref="J16:L16" si="1">$M8/J8</f>
        <v>4</v>
      </c>
      <c r="K16" s="7">
        <f t="shared" si="1"/>
        <v>4</v>
      </c>
      <c r="L16" s="7">
        <v>1</v>
      </c>
      <c r="M16" s="8">
        <v>4</v>
      </c>
      <c r="N16" s="9"/>
    </row>
    <row r="17" spans="8:14" ht="15.6" x14ac:dyDescent="0.3">
      <c r="H17" s="5" t="s">
        <v>5</v>
      </c>
      <c r="I17" s="7">
        <v>4</v>
      </c>
      <c r="J17" s="7">
        <f t="shared" ref="I16:L17" si="2">$M9/J9</f>
        <v>3</v>
      </c>
      <c r="K17" s="7">
        <f t="shared" si="2"/>
        <v>6</v>
      </c>
      <c r="L17" s="7">
        <f t="shared" si="2"/>
        <v>8</v>
      </c>
      <c r="M17" s="8">
        <v>3</v>
      </c>
      <c r="N17" s="9"/>
    </row>
    <row r="18" spans="8:14" ht="15.6" x14ac:dyDescent="0.3">
      <c r="H18" s="4" t="s">
        <v>6</v>
      </c>
      <c r="I18" s="7">
        <f>I15*I10+I16*I10+I17*I10</f>
        <v>33</v>
      </c>
      <c r="J18" s="7">
        <f>J15*J10+J16*J10+J17*J10</f>
        <v>40</v>
      </c>
      <c r="K18" s="7">
        <f t="shared" ref="K18:L18" si="3">K15*K10+K16*K10+K17*K10</f>
        <v>30</v>
      </c>
      <c r="L18" s="7">
        <f t="shared" si="3"/>
        <v>10</v>
      </c>
      <c r="M18" s="8">
        <f>I18+J18+K18+L18</f>
        <v>113</v>
      </c>
      <c r="N18" s="9"/>
    </row>
  </sheetData>
  <mergeCells count="18">
    <mergeCell ref="F1:O1"/>
    <mergeCell ref="H4:N4"/>
    <mergeCell ref="H5:H6"/>
    <mergeCell ref="I5:L5"/>
    <mergeCell ref="M5:N5"/>
    <mergeCell ref="M6:N6"/>
    <mergeCell ref="M15:N15"/>
    <mergeCell ref="M16:N16"/>
    <mergeCell ref="M17:N17"/>
    <mergeCell ref="M18:N18"/>
    <mergeCell ref="M7:N7"/>
    <mergeCell ref="M8:N8"/>
    <mergeCell ref="M9:N9"/>
    <mergeCell ref="M10:N10"/>
    <mergeCell ref="H12:N12"/>
    <mergeCell ref="H13:H14"/>
    <mergeCell ref="I13:L13"/>
    <mergeCell ref="M13:N14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Основная задача</vt:lpstr>
      <vt:lpstr>Дополнительная задача</vt:lpstr>
    </vt:vector>
  </TitlesOfParts>
  <Company>diakov.net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mron</cp:lastModifiedBy>
  <dcterms:created xsi:type="dcterms:W3CDTF">2016-03-04T14:13:18Z</dcterms:created>
  <dcterms:modified xsi:type="dcterms:W3CDTF">2017-04-06T09:36:24Z</dcterms:modified>
</cp:coreProperties>
</file>