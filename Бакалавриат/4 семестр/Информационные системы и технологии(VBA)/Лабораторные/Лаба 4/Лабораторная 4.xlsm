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night\Desktop\Учеба!\4 семестр\ИСИТ 4 семестр\Лабораторные\Лаба 4\"/>
    </mc:Choice>
  </mc:AlternateContent>
  <bookViews>
    <workbookView xWindow="240" yWindow="60" windowWidth="20112" windowHeight="7500"/>
  </bookViews>
  <sheets>
    <sheet name="Основная задача" sheetId="1" r:id="rId1"/>
    <sheet name="H=5H" sheetId="2" r:id="rId2"/>
    <sheet name="H=h" sheetId="3" r:id="rId3"/>
  </sheets>
  <calcPr calcId="152511"/>
</workbook>
</file>

<file path=xl/calcChain.xml><?xml version="1.0" encoding="utf-8"?>
<calcChain xmlns="http://schemas.openxmlformats.org/spreadsheetml/2006/main">
  <c r="E11" i="1" l="1"/>
  <c r="K18" i="3" l="1"/>
  <c r="L17" i="3"/>
  <c r="B17" i="3"/>
  <c r="B16" i="3"/>
  <c r="E11" i="3"/>
  <c r="F11" i="3" s="1"/>
  <c r="J11" i="3" s="1"/>
  <c r="K18" i="2"/>
  <c r="L17" i="2"/>
  <c r="B18" i="2"/>
  <c r="B19" i="2" s="1"/>
  <c r="B17" i="2"/>
  <c r="B16" i="2"/>
  <c r="E11" i="2"/>
  <c r="L17" i="1"/>
  <c r="K18" i="1"/>
  <c r="K19" i="1" s="1"/>
  <c r="B16" i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F11" i="1"/>
  <c r="M30" i="1" l="1"/>
  <c r="M26" i="1"/>
  <c r="M19" i="1"/>
  <c r="M18" i="1"/>
  <c r="C20" i="1"/>
  <c r="D20" i="1" s="1"/>
  <c r="C24" i="1"/>
  <c r="D24" i="1" s="1"/>
  <c r="C28" i="1"/>
  <c r="D28" i="1" s="1"/>
  <c r="C32" i="1"/>
  <c r="D32" i="1" s="1"/>
  <c r="C21" i="1"/>
  <c r="D21" i="1" s="1"/>
  <c r="C29" i="1"/>
  <c r="D29" i="1" s="1"/>
  <c r="M24" i="1"/>
  <c r="C22" i="1"/>
  <c r="D22" i="1" s="1"/>
  <c r="C16" i="1"/>
  <c r="D16" i="1" s="1"/>
  <c r="M17" i="1"/>
  <c r="C17" i="1"/>
  <c r="D17" i="1" s="1"/>
  <c r="J11" i="1"/>
  <c r="C26" i="1"/>
  <c r="D26" i="1" s="1"/>
  <c r="M25" i="1"/>
  <c r="C19" i="1"/>
  <c r="D19" i="1" s="1"/>
  <c r="C23" i="1"/>
  <c r="D23" i="1" s="1"/>
  <c r="C27" i="1"/>
  <c r="D27" i="1" s="1"/>
  <c r="C31" i="1"/>
  <c r="D31" i="1" s="1"/>
  <c r="G11" i="1"/>
  <c r="C25" i="1"/>
  <c r="D25" i="1" s="1"/>
  <c r="C33" i="1"/>
  <c r="D33" i="1" s="1"/>
  <c r="M37" i="1"/>
  <c r="M36" i="1"/>
  <c r="M31" i="1"/>
  <c r="C18" i="1"/>
  <c r="D18" i="1" s="1"/>
  <c r="C30" i="1"/>
  <c r="D30" i="1" s="1"/>
  <c r="I11" i="1"/>
  <c r="K20" i="1"/>
  <c r="L19" i="1"/>
  <c r="L18" i="1"/>
  <c r="C18" i="3"/>
  <c r="D18" i="3" s="1"/>
  <c r="C17" i="3"/>
  <c r="D17" i="3" s="1"/>
  <c r="M17" i="3"/>
  <c r="M29" i="3" s="1"/>
  <c r="M35" i="3" s="1"/>
  <c r="C16" i="3"/>
  <c r="D16" i="3" s="1"/>
  <c r="M36" i="3"/>
  <c r="L18" i="3"/>
  <c r="M30" i="3"/>
  <c r="M18" i="3"/>
  <c r="K19" i="3"/>
  <c r="M24" i="3"/>
  <c r="B18" i="3"/>
  <c r="G11" i="3"/>
  <c r="I11" i="3"/>
  <c r="L18" i="2"/>
  <c r="K19" i="2"/>
  <c r="B20" i="2"/>
  <c r="F11" i="2"/>
  <c r="M18" i="2" s="1"/>
  <c r="M23" i="3" l="1"/>
  <c r="M29" i="1"/>
  <c r="M35" i="1" s="1"/>
  <c r="M23" i="1"/>
  <c r="K21" i="1"/>
  <c r="L20" i="1"/>
  <c r="M20" i="1"/>
  <c r="M32" i="1"/>
  <c r="M38" i="1"/>
  <c r="C19" i="2"/>
  <c r="D19" i="2" s="1"/>
  <c r="C17" i="2"/>
  <c r="D17" i="2" s="1"/>
  <c r="M30" i="2"/>
  <c r="C18" i="2"/>
  <c r="D18" i="2" s="1"/>
  <c r="C20" i="2"/>
  <c r="D20" i="2" s="1"/>
  <c r="M17" i="2"/>
  <c r="C16" i="2"/>
  <c r="D16" i="2" s="1"/>
  <c r="M24" i="2"/>
  <c r="M36" i="2"/>
  <c r="L19" i="3"/>
  <c r="M37" i="3"/>
  <c r="M25" i="3"/>
  <c r="K20" i="3"/>
  <c r="M31" i="3"/>
  <c r="M19" i="3"/>
  <c r="C19" i="3"/>
  <c r="D19" i="3" s="1"/>
  <c r="B19" i="3"/>
  <c r="L19" i="2"/>
  <c r="M37" i="2"/>
  <c r="M25" i="2"/>
  <c r="K20" i="2"/>
  <c r="M31" i="2"/>
  <c r="M19" i="2"/>
  <c r="C21" i="2"/>
  <c r="D21" i="2" s="1"/>
  <c r="B21" i="2"/>
  <c r="J11" i="2"/>
  <c r="G11" i="2"/>
  <c r="I11" i="2"/>
  <c r="K22" i="1" l="1"/>
  <c r="L21" i="1"/>
  <c r="M39" i="1"/>
  <c r="M21" i="1"/>
  <c r="M33" i="1"/>
  <c r="M27" i="1"/>
  <c r="M29" i="2"/>
  <c r="M35" i="2" s="1"/>
  <c r="M23" i="2"/>
  <c r="M32" i="3"/>
  <c r="L20" i="3"/>
  <c r="M26" i="3"/>
  <c r="M38" i="3"/>
  <c r="K21" i="3"/>
  <c r="M20" i="3"/>
  <c r="C20" i="3"/>
  <c r="D20" i="3" s="1"/>
  <c r="B20" i="3"/>
  <c r="M32" i="2"/>
  <c r="L20" i="2"/>
  <c r="M38" i="2"/>
  <c r="M26" i="2"/>
  <c r="K21" i="2"/>
  <c r="M20" i="2"/>
  <c r="C22" i="2"/>
  <c r="D22" i="2" s="1"/>
  <c r="B22" i="2"/>
  <c r="L22" i="1" l="1"/>
  <c r="K23" i="1"/>
  <c r="M34" i="1"/>
  <c r="M22" i="1"/>
  <c r="M28" i="1"/>
  <c r="M40" i="1"/>
  <c r="K22" i="3"/>
  <c r="M33" i="3"/>
  <c r="M21" i="3"/>
  <c r="L21" i="3"/>
  <c r="M39" i="3"/>
  <c r="M27" i="3"/>
  <c r="C21" i="3"/>
  <c r="D21" i="3" s="1"/>
  <c r="B21" i="3"/>
  <c r="K22" i="2"/>
  <c r="M33" i="2"/>
  <c r="M21" i="2"/>
  <c r="L21" i="2"/>
  <c r="M39" i="2"/>
  <c r="M27" i="2"/>
  <c r="B23" i="2"/>
  <c r="C23" i="2"/>
  <c r="D23" i="2" s="1"/>
  <c r="L23" i="1" l="1"/>
  <c r="K24" i="1"/>
  <c r="M40" i="3"/>
  <c r="M28" i="3"/>
  <c r="K23" i="3"/>
  <c r="M34" i="3"/>
  <c r="M22" i="3"/>
  <c r="L22" i="3"/>
  <c r="C22" i="3"/>
  <c r="D22" i="3" s="1"/>
  <c r="B22" i="3"/>
  <c r="M40" i="2"/>
  <c r="M28" i="2"/>
  <c r="K23" i="2"/>
  <c r="M34" i="2"/>
  <c r="M22" i="2"/>
  <c r="L22" i="2"/>
  <c r="C24" i="2"/>
  <c r="D24" i="2" s="1"/>
  <c r="B24" i="2"/>
  <c r="L24" i="1" l="1"/>
  <c r="K25" i="1"/>
  <c r="L23" i="3"/>
  <c r="K24" i="3"/>
  <c r="B23" i="3"/>
  <c r="C23" i="3"/>
  <c r="D23" i="3" s="1"/>
  <c r="L23" i="2"/>
  <c r="K24" i="2"/>
  <c r="C25" i="2"/>
  <c r="D25" i="2" s="1"/>
  <c r="B25" i="2"/>
  <c r="K26" i="1" l="1"/>
  <c r="L25" i="1"/>
  <c r="L24" i="3"/>
  <c r="K25" i="3"/>
  <c r="C24" i="3"/>
  <c r="D24" i="3" s="1"/>
  <c r="B24" i="3"/>
  <c r="L24" i="2"/>
  <c r="K25" i="2"/>
  <c r="B26" i="2"/>
  <c r="C26" i="2"/>
  <c r="D26" i="2" s="1"/>
  <c r="K27" i="1" l="1"/>
  <c r="L26" i="1"/>
  <c r="L25" i="3"/>
  <c r="K26" i="3"/>
  <c r="C25" i="3"/>
  <c r="D25" i="3" s="1"/>
  <c r="B25" i="3"/>
  <c r="K26" i="2"/>
  <c r="L25" i="2"/>
  <c r="B27" i="2"/>
  <c r="C27" i="2"/>
  <c r="D27" i="2" s="1"/>
  <c r="K28" i="1" l="1"/>
  <c r="L27" i="1"/>
  <c r="K27" i="3"/>
  <c r="L26" i="3"/>
  <c r="C26" i="3"/>
  <c r="D26" i="3" s="1"/>
  <c r="B26" i="3"/>
  <c r="K27" i="2"/>
  <c r="L26" i="2"/>
  <c r="C28" i="2"/>
  <c r="D28" i="2" s="1"/>
  <c r="B28" i="2"/>
  <c r="L28" i="1" l="1"/>
  <c r="K29" i="1"/>
  <c r="L27" i="3"/>
  <c r="K28" i="3"/>
  <c r="B27" i="3"/>
  <c r="C27" i="3"/>
  <c r="D27" i="3" s="1"/>
  <c r="L27" i="2"/>
  <c r="K28" i="2"/>
  <c r="C29" i="2"/>
  <c r="D29" i="2" s="1"/>
  <c r="B29" i="2"/>
  <c r="L29" i="1" l="1"/>
  <c r="K30" i="1"/>
  <c r="L28" i="3"/>
  <c r="K29" i="3"/>
  <c r="C28" i="3"/>
  <c r="D28" i="3" s="1"/>
  <c r="B28" i="3"/>
  <c r="L28" i="2"/>
  <c r="K29" i="2"/>
  <c r="B30" i="2"/>
  <c r="C30" i="2"/>
  <c r="D30" i="2" s="1"/>
  <c r="K31" i="1" l="1"/>
  <c r="L30" i="1"/>
  <c r="K30" i="3"/>
  <c r="L29" i="3"/>
  <c r="C29" i="3"/>
  <c r="D29" i="3" s="1"/>
  <c r="B29" i="3"/>
  <c r="K30" i="2"/>
  <c r="L29" i="2"/>
  <c r="B31" i="2"/>
  <c r="C31" i="2"/>
  <c r="D31" i="2" s="1"/>
  <c r="K32" i="1" l="1"/>
  <c r="L31" i="1"/>
  <c r="K31" i="3"/>
  <c r="L30" i="3"/>
  <c r="C30" i="3"/>
  <c r="D30" i="3" s="1"/>
  <c r="B30" i="3"/>
  <c r="K31" i="2"/>
  <c r="L30" i="2"/>
  <c r="C32" i="2"/>
  <c r="D32" i="2" s="1"/>
  <c r="B32" i="2"/>
  <c r="K33" i="1" l="1"/>
  <c r="L32" i="1"/>
  <c r="L31" i="3"/>
  <c r="K32" i="3"/>
  <c r="B31" i="3"/>
  <c r="C31" i="3"/>
  <c r="D31" i="3" s="1"/>
  <c r="L31" i="2"/>
  <c r="K32" i="2"/>
  <c r="C33" i="2"/>
  <c r="D33" i="2" s="1"/>
  <c r="B33" i="2"/>
  <c r="L33" i="1" l="1"/>
  <c r="K34" i="1"/>
  <c r="L32" i="3"/>
  <c r="K33" i="3"/>
  <c r="C32" i="3"/>
  <c r="D32" i="3" s="1"/>
  <c r="B32" i="3"/>
  <c r="L32" i="2"/>
  <c r="K33" i="2"/>
  <c r="K35" i="1" l="1"/>
  <c r="L34" i="1"/>
  <c r="K34" i="3"/>
  <c r="L33" i="3"/>
  <c r="C33" i="3"/>
  <c r="D33" i="3" s="1"/>
  <c r="B33" i="3"/>
  <c r="K34" i="2"/>
  <c r="L33" i="2"/>
  <c r="L35" i="1" l="1"/>
  <c r="K36" i="1"/>
  <c r="K35" i="3"/>
  <c r="L34" i="3"/>
  <c r="K35" i="2"/>
  <c r="L34" i="2"/>
  <c r="L36" i="1" l="1"/>
  <c r="K37" i="1"/>
  <c r="L35" i="3"/>
  <c r="K36" i="3"/>
  <c r="L35" i="2"/>
  <c r="K36" i="2"/>
  <c r="K38" i="1" l="1"/>
  <c r="L37" i="1"/>
  <c r="L36" i="3"/>
  <c r="K37" i="3"/>
  <c r="L36" i="2"/>
  <c r="K37" i="2"/>
  <c r="K39" i="1" l="1"/>
  <c r="L38" i="1"/>
  <c r="K38" i="3"/>
  <c r="L37" i="3"/>
  <c r="K38" i="2"/>
  <c r="L37" i="2"/>
  <c r="K40" i="1" l="1"/>
  <c r="L40" i="1" s="1"/>
  <c r="L39" i="1"/>
  <c r="K39" i="3"/>
  <c r="L38" i="3"/>
  <c r="K39" i="2"/>
  <c r="L38" i="2"/>
  <c r="L39" i="3" l="1"/>
  <c r="K40" i="3"/>
  <c r="L40" i="3" s="1"/>
  <c r="L39" i="2"/>
  <c r="K40" i="2"/>
  <c r="L40" i="2" s="1"/>
</calcChain>
</file>

<file path=xl/sharedStrings.xml><?xml version="1.0" encoding="utf-8"?>
<sst xmlns="http://schemas.openxmlformats.org/spreadsheetml/2006/main" count="62" uniqueCount="18">
  <si>
    <t>Исходные данные</t>
  </si>
  <si>
    <t>d[ед/дн]</t>
  </si>
  <si>
    <t>T [дн]</t>
  </si>
  <si>
    <t>h[р.]</t>
  </si>
  <si>
    <t>H[р.]</t>
  </si>
  <si>
    <t>Результаты расчётов</t>
  </si>
  <si>
    <t>q</t>
  </si>
  <si>
    <t>y опт</t>
  </si>
  <si>
    <t>C min</t>
  </si>
  <si>
    <t>t</t>
  </si>
  <si>
    <t>tc</t>
  </si>
  <si>
    <t>Значения функции затрат</t>
  </si>
  <si>
    <t>Шаг</t>
  </si>
  <si>
    <t>y</t>
  </si>
  <si>
    <t>C</t>
  </si>
  <si>
    <t>Изменение запаса</t>
  </si>
  <si>
    <t>Q</t>
  </si>
  <si>
    <t xml:space="preserve">                           Моделирование задачи управления запасами, включающей штрафы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</si>
</sst>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i/>
      <sz val="16"/>
      <color theme="8" tint="-0.49998474074526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5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2" xfId="0" applyFont="1" applyFill="1" applyBorder="1" applyAlignment="1"/>
    <xf numFmtId="0" fontId="3" fillId="5" borderId="4" xfId="0" applyFont="1" applyFill="1" applyBorder="1" applyAlignment="1"/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3" fillId="5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4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198120</xdr:colOff>
          <xdr:row>7</xdr:row>
          <xdr:rowOff>53340</xdr:rowOff>
        </xdr:from>
        <xdr:to>
          <xdr:col>12</xdr:col>
          <xdr:colOff>830580</xdr:colOff>
          <xdr:row>11</xdr:row>
          <xdr:rowOff>60960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929640</xdr:colOff>
          <xdr:row>7</xdr:row>
          <xdr:rowOff>121920</xdr:rowOff>
        </xdr:from>
        <xdr:to>
          <xdr:col>3</xdr:col>
          <xdr:colOff>800100</xdr:colOff>
          <xdr:row>11</xdr:row>
          <xdr:rowOff>144780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656303</xdr:colOff>
          <xdr:row>7</xdr:row>
          <xdr:rowOff>96848</xdr:rowOff>
        </xdr:from>
        <xdr:to>
          <xdr:col>12</xdr:col>
          <xdr:colOff>1057706</xdr:colOff>
          <xdr:row>11</xdr:row>
          <xdr:rowOff>104468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600996</xdr:colOff>
          <xdr:row>7</xdr:row>
          <xdr:rowOff>173295</xdr:rowOff>
        </xdr:from>
        <xdr:to>
          <xdr:col>3</xdr:col>
          <xdr:colOff>916857</xdr:colOff>
          <xdr:row>12</xdr:row>
          <xdr:rowOff>1230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322580</xdr:colOff>
          <xdr:row>7</xdr:row>
          <xdr:rowOff>106680</xdr:rowOff>
        </xdr:from>
        <xdr:to>
          <xdr:col>13</xdr:col>
          <xdr:colOff>7620</xdr:colOff>
          <xdr:row>11</xdr:row>
          <xdr:rowOff>132080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7</xdr:row>
          <xdr:rowOff>88900</xdr:rowOff>
        </xdr:from>
        <xdr:to>
          <xdr:col>3</xdr:col>
          <xdr:colOff>850900</xdr:colOff>
          <xdr:row>11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40"/>
  <sheetViews>
    <sheetView tabSelected="1" zoomScale="60" zoomScaleNormal="60" workbookViewId="0">
      <selection activeCell="L16" sqref="L16:M40"/>
    </sheetView>
  </sheetViews>
  <sheetFormatPr defaultColWidth="9.109375" defaultRowHeight="14.4" x14ac:dyDescent="0.3"/>
  <cols>
    <col min="1" max="1" width="14.33203125" style="1" customWidth="1"/>
    <col min="2" max="2" width="14.5546875" style="1" customWidth="1"/>
    <col min="3" max="3" width="16.88671875" style="1" customWidth="1"/>
    <col min="4" max="4" width="16.33203125" style="1" customWidth="1"/>
    <col min="5" max="5" width="9.109375" style="1"/>
    <col min="6" max="6" width="10" style="1" customWidth="1"/>
    <col min="7" max="10" width="9.109375" style="1"/>
    <col min="11" max="11" width="11.33203125" style="1" customWidth="1"/>
    <col min="12" max="12" width="11.5546875" style="1" customWidth="1"/>
    <col min="13" max="13" width="12.5546875" style="1" customWidth="1"/>
    <col min="14" max="16384" width="9.109375" style="1"/>
  </cols>
  <sheetData>
    <row r="1" spans="1:20" ht="21" x14ac:dyDescent="0.4">
      <c r="B1" s="12" t="s">
        <v>17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3" spans="1:20" ht="9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5" spans="1:20" ht="15.6" x14ac:dyDescent="0.3">
      <c r="F5" s="13" t="s">
        <v>0</v>
      </c>
      <c r="G5" s="10"/>
      <c r="H5" s="10"/>
      <c r="I5" s="11"/>
    </row>
    <row r="6" spans="1:20" ht="15.6" x14ac:dyDescent="0.3">
      <c r="F6" s="6" t="s">
        <v>1</v>
      </c>
      <c r="G6" s="6" t="s">
        <v>2</v>
      </c>
      <c r="H6" s="6" t="s">
        <v>3</v>
      </c>
      <c r="I6" s="6" t="s">
        <v>4</v>
      </c>
    </row>
    <row r="7" spans="1:20" ht="15.6" x14ac:dyDescent="0.3">
      <c r="F7" s="4">
        <v>100</v>
      </c>
      <c r="G7" s="4">
        <v>30</v>
      </c>
      <c r="H7" s="4">
        <v>140</v>
      </c>
      <c r="I7" s="4">
        <v>280</v>
      </c>
    </row>
    <row r="9" spans="1:20" ht="15.6" x14ac:dyDescent="0.3">
      <c r="E9" s="13" t="s">
        <v>5</v>
      </c>
      <c r="F9" s="10"/>
      <c r="G9" s="10"/>
      <c r="H9" s="10"/>
      <c r="I9" s="10"/>
      <c r="J9" s="11"/>
    </row>
    <row r="10" spans="1:20" ht="15.6" x14ac:dyDescent="0.3">
      <c r="E10" s="6" t="s">
        <v>6</v>
      </c>
      <c r="F10" s="6" t="s">
        <v>7</v>
      </c>
      <c r="G10" s="13" t="s">
        <v>8</v>
      </c>
      <c r="H10" s="11"/>
      <c r="I10" s="6" t="s">
        <v>9</v>
      </c>
      <c r="J10" s="6" t="s">
        <v>10</v>
      </c>
    </row>
    <row r="11" spans="1:20" ht="15.6" x14ac:dyDescent="0.3">
      <c r="E11" s="4">
        <f>F7*G7</f>
        <v>3000</v>
      </c>
      <c r="F11" s="4">
        <f>I7*E11/(H7+I7)</f>
        <v>2000</v>
      </c>
      <c r="G11" s="14">
        <f>$H$7*(F11^2)/2*$F$7+$I$7*(($E$11-F11)^2)/2*$F$7</f>
        <v>42000000000</v>
      </c>
      <c r="H11" s="15"/>
      <c r="I11" s="4">
        <f>E11-F11/$F$7</f>
        <v>2980</v>
      </c>
      <c r="J11" s="4">
        <f>F11/$F$7</f>
        <v>20</v>
      </c>
    </row>
    <row r="14" spans="1:20" ht="15.6" x14ac:dyDescent="0.3">
      <c r="B14" s="6" t="s">
        <v>12</v>
      </c>
      <c r="C14" s="8" t="s">
        <v>11</v>
      </c>
      <c r="D14" s="9"/>
      <c r="K14" s="3" t="s">
        <v>12</v>
      </c>
      <c r="L14" s="10" t="s">
        <v>15</v>
      </c>
      <c r="M14" s="11"/>
    </row>
    <row r="15" spans="1:20" ht="15.6" x14ac:dyDescent="0.3">
      <c r="B15" s="4">
        <v>0.1</v>
      </c>
      <c r="C15" s="4" t="s">
        <v>13</v>
      </c>
      <c r="D15" s="4" t="s">
        <v>14</v>
      </c>
      <c r="K15" s="3"/>
      <c r="L15" s="6" t="s">
        <v>9</v>
      </c>
      <c r="M15" s="6" t="s">
        <v>16</v>
      </c>
    </row>
    <row r="16" spans="1:20" ht="15.6" x14ac:dyDescent="0.3">
      <c r="B16" s="4">
        <f>B15+0.1</f>
        <v>0.2</v>
      </c>
      <c r="C16" s="5">
        <f>$F$11*B15</f>
        <v>200</v>
      </c>
      <c r="D16" s="5">
        <f>$H$7*C16^2/2*$F$7+$I$7*(($E$11-C16)^2)/2*$F$7</f>
        <v>110040000000</v>
      </c>
      <c r="K16" s="7" t="s">
        <v>12</v>
      </c>
      <c r="L16" s="5">
        <v>0</v>
      </c>
      <c r="M16" s="5">
        <v>0</v>
      </c>
    </row>
    <row r="17" spans="2:13" ht="15.6" x14ac:dyDescent="0.3">
      <c r="B17" s="4">
        <f t="shared" ref="B17:B33" si="0">B16+0.1</f>
        <v>0.30000000000000004</v>
      </c>
      <c r="C17" s="5">
        <f t="shared" ref="C17:C33" si="1">$F$11*B16</f>
        <v>400</v>
      </c>
      <c r="D17" s="5">
        <f t="shared" ref="D17:D33" si="2">$H$7*C17^2/2*$F$7+$I$7*(($E$11-C17)^2)/2*$F$7</f>
        <v>95760000000</v>
      </c>
      <c r="K17" s="4">
        <v>0</v>
      </c>
      <c r="L17" s="5">
        <f>$G$7*K17</f>
        <v>0</v>
      </c>
      <c r="M17" s="5">
        <f>F11</f>
        <v>2000</v>
      </c>
    </row>
    <row r="18" spans="2:13" ht="15.6" x14ac:dyDescent="0.3">
      <c r="B18" s="4">
        <f t="shared" si="0"/>
        <v>0.4</v>
      </c>
      <c r="C18" s="5">
        <f t="shared" si="1"/>
        <v>600.00000000000011</v>
      </c>
      <c r="D18" s="5">
        <f t="shared" si="2"/>
        <v>83160000000</v>
      </c>
      <c r="K18" s="4">
        <f>K17+0.2</f>
        <v>0.2</v>
      </c>
      <c r="L18" s="5">
        <f t="shared" ref="L18:L40" si="3">$G$7*K18</f>
        <v>6</v>
      </c>
      <c r="M18" s="5">
        <f>$F$11-$E$11*K18</f>
        <v>1400</v>
      </c>
    </row>
    <row r="19" spans="2:13" ht="15.6" x14ac:dyDescent="0.3">
      <c r="B19" s="4">
        <f t="shared" si="0"/>
        <v>0.5</v>
      </c>
      <c r="C19" s="5">
        <f t="shared" si="1"/>
        <v>800</v>
      </c>
      <c r="D19" s="5">
        <f t="shared" si="2"/>
        <v>72240000000</v>
      </c>
      <c r="K19" s="4">
        <f t="shared" ref="K19:K21" si="4">K18+0.2</f>
        <v>0.4</v>
      </c>
      <c r="L19" s="5">
        <f t="shared" si="3"/>
        <v>12</v>
      </c>
      <c r="M19" s="5">
        <f t="shared" ref="M19:M22" si="5">$F$11-$E$11*K19</f>
        <v>800</v>
      </c>
    </row>
    <row r="20" spans="2:13" ht="15.6" x14ac:dyDescent="0.3">
      <c r="B20" s="4">
        <f t="shared" si="0"/>
        <v>0.6</v>
      </c>
      <c r="C20" s="5">
        <f t="shared" si="1"/>
        <v>1000</v>
      </c>
      <c r="D20" s="5">
        <f t="shared" si="2"/>
        <v>63000000000</v>
      </c>
      <c r="K20" s="4">
        <f t="shared" si="4"/>
        <v>0.60000000000000009</v>
      </c>
      <c r="L20" s="5">
        <f t="shared" si="3"/>
        <v>18.000000000000004</v>
      </c>
      <c r="M20" s="5">
        <f t="shared" si="5"/>
        <v>199.99999999999977</v>
      </c>
    </row>
    <row r="21" spans="2:13" ht="15.6" x14ac:dyDescent="0.3">
      <c r="B21" s="4">
        <f t="shared" si="0"/>
        <v>0.7</v>
      </c>
      <c r="C21" s="5">
        <f t="shared" si="1"/>
        <v>1200</v>
      </c>
      <c r="D21" s="5">
        <f t="shared" si="2"/>
        <v>55440000000</v>
      </c>
      <c r="K21" s="4">
        <f t="shared" si="4"/>
        <v>0.8</v>
      </c>
      <c r="L21" s="5">
        <f t="shared" si="3"/>
        <v>24</v>
      </c>
      <c r="M21" s="5">
        <f t="shared" si="5"/>
        <v>-400</v>
      </c>
    </row>
    <row r="22" spans="2:13" ht="15.6" x14ac:dyDescent="0.3">
      <c r="B22" s="4">
        <f t="shared" si="0"/>
        <v>0.79999999999999993</v>
      </c>
      <c r="C22" s="5">
        <f t="shared" si="1"/>
        <v>1400</v>
      </c>
      <c r="D22" s="5">
        <f t="shared" si="2"/>
        <v>49560000000</v>
      </c>
      <c r="K22" s="4">
        <f>K21+0.2</f>
        <v>1</v>
      </c>
      <c r="L22" s="5">
        <f t="shared" si="3"/>
        <v>30</v>
      </c>
      <c r="M22" s="5">
        <f t="shared" si="5"/>
        <v>-1000</v>
      </c>
    </row>
    <row r="23" spans="2:13" ht="15.6" x14ac:dyDescent="0.3">
      <c r="B23" s="4">
        <f t="shared" si="0"/>
        <v>0.89999999999999991</v>
      </c>
      <c r="C23" s="5">
        <f t="shared" si="1"/>
        <v>1599.9999999999998</v>
      </c>
      <c r="D23" s="5">
        <f t="shared" si="2"/>
        <v>45360000000</v>
      </c>
      <c r="K23" s="4">
        <f>K22</f>
        <v>1</v>
      </c>
      <c r="L23" s="5">
        <f t="shared" si="3"/>
        <v>30</v>
      </c>
      <c r="M23" s="5">
        <f>M17</f>
        <v>2000</v>
      </c>
    </row>
    <row r="24" spans="2:13" ht="15.6" x14ac:dyDescent="0.3">
      <c r="B24" s="4">
        <f t="shared" si="0"/>
        <v>0.99999999999999989</v>
      </c>
      <c r="C24" s="5">
        <f t="shared" si="1"/>
        <v>1799.9999999999998</v>
      </c>
      <c r="D24" s="5">
        <f t="shared" si="2"/>
        <v>42840000000</v>
      </c>
      <c r="K24" s="4">
        <f>K23+0.2</f>
        <v>1.2</v>
      </c>
      <c r="L24" s="5">
        <f t="shared" si="3"/>
        <v>36</v>
      </c>
      <c r="M24" s="5">
        <f>$F$11-$E$11*K18</f>
        <v>1400</v>
      </c>
    </row>
    <row r="25" spans="2:13" ht="15.6" x14ac:dyDescent="0.3">
      <c r="B25" s="4">
        <f t="shared" si="0"/>
        <v>1.0999999999999999</v>
      </c>
      <c r="C25" s="5">
        <f t="shared" si="1"/>
        <v>1999.9999999999998</v>
      </c>
      <c r="D25" s="5">
        <f t="shared" si="2"/>
        <v>42000000000</v>
      </c>
      <c r="K25" s="4">
        <f t="shared" ref="K25:K28" si="6">K24+0.2</f>
        <v>1.4</v>
      </c>
      <c r="L25" s="5">
        <f t="shared" si="3"/>
        <v>42</v>
      </c>
      <c r="M25" s="5">
        <f t="shared" ref="M25:M27" si="7">$F$11-$E$11*K19</f>
        <v>800</v>
      </c>
    </row>
    <row r="26" spans="2:13" ht="15.6" x14ac:dyDescent="0.3">
      <c r="B26" s="4">
        <f t="shared" si="0"/>
        <v>1.2</v>
      </c>
      <c r="C26" s="5">
        <f t="shared" si="1"/>
        <v>2199.9999999999995</v>
      </c>
      <c r="D26" s="5">
        <f t="shared" si="2"/>
        <v>42840000000</v>
      </c>
      <c r="K26" s="4">
        <f t="shared" si="6"/>
        <v>1.5999999999999999</v>
      </c>
      <c r="L26" s="5">
        <f t="shared" si="3"/>
        <v>47.999999999999993</v>
      </c>
      <c r="M26" s="5">
        <f t="shared" si="7"/>
        <v>199.99999999999977</v>
      </c>
    </row>
    <row r="27" spans="2:13" ht="15.6" x14ac:dyDescent="0.3">
      <c r="B27" s="4">
        <f t="shared" si="0"/>
        <v>1.3</v>
      </c>
      <c r="C27" s="5">
        <f t="shared" si="1"/>
        <v>2400</v>
      </c>
      <c r="D27" s="5">
        <f t="shared" si="2"/>
        <v>45360000000</v>
      </c>
      <c r="K27" s="4">
        <f t="shared" si="6"/>
        <v>1.7999999999999998</v>
      </c>
      <c r="L27" s="5">
        <f t="shared" si="3"/>
        <v>53.999999999999993</v>
      </c>
      <c r="M27" s="5">
        <f t="shared" si="7"/>
        <v>-400</v>
      </c>
    </row>
    <row r="28" spans="2:13" ht="15.6" x14ac:dyDescent="0.3">
      <c r="B28" s="4">
        <f t="shared" si="0"/>
        <v>1.4000000000000001</v>
      </c>
      <c r="C28" s="5">
        <f t="shared" si="1"/>
        <v>2600</v>
      </c>
      <c r="D28" s="5">
        <f t="shared" si="2"/>
        <v>49560000000</v>
      </c>
      <c r="K28" s="4">
        <f t="shared" si="6"/>
        <v>1.9999999999999998</v>
      </c>
      <c r="L28" s="5">
        <f t="shared" si="3"/>
        <v>59.999999999999993</v>
      </c>
      <c r="M28" s="5">
        <f>$F$11-$E$11*K22</f>
        <v>-1000</v>
      </c>
    </row>
    <row r="29" spans="2:13" ht="15.6" x14ac:dyDescent="0.3">
      <c r="B29" s="4">
        <f t="shared" si="0"/>
        <v>1.5000000000000002</v>
      </c>
      <c r="C29" s="5">
        <f t="shared" si="1"/>
        <v>2800.0000000000005</v>
      </c>
      <c r="D29" s="5">
        <f t="shared" si="2"/>
        <v>55440000000.000023</v>
      </c>
      <c r="K29" s="4">
        <f>K28</f>
        <v>1.9999999999999998</v>
      </c>
      <c r="L29" s="5">
        <f t="shared" si="3"/>
        <v>59.999999999999993</v>
      </c>
      <c r="M29" s="5">
        <f>M17</f>
        <v>2000</v>
      </c>
    </row>
    <row r="30" spans="2:13" ht="15.6" x14ac:dyDescent="0.3">
      <c r="B30" s="4">
        <f t="shared" si="0"/>
        <v>1.6000000000000003</v>
      </c>
      <c r="C30" s="5">
        <f t="shared" si="1"/>
        <v>3000.0000000000005</v>
      </c>
      <c r="D30" s="5">
        <f t="shared" si="2"/>
        <v>63000000000.000015</v>
      </c>
      <c r="K30" s="4">
        <f>K29+0.2</f>
        <v>2.1999999999999997</v>
      </c>
      <c r="L30" s="5">
        <f t="shared" si="3"/>
        <v>65.999999999999986</v>
      </c>
      <c r="M30" s="5">
        <f>$F$11-$E$11*K18</f>
        <v>1400</v>
      </c>
    </row>
    <row r="31" spans="2:13" ht="15.6" x14ac:dyDescent="0.3">
      <c r="B31" s="4">
        <f t="shared" si="0"/>
        <v>1.7000000000000004</v>
      </c>
      <c r="C31" s="5">
        <f t="shared" si="1"/>
        <v>3200.0000000000005</v>
      </c>
      <c r="D31" s="5">
        <f t="shared" si="2"/>
        <v>72240000000.000031</v>
      </c>
      <c r="K31" s="4">
        <f t="shared" ref="K31:K33" si="8">K30+0.2</f>
        <v>2.4</v>
      </c>
      <c r="L31" s="5">
        <f t="shared" si="3"/>
        <v>72</v>
      </c>
      <c r="M31" s="5">
        <f t="shared" ref="M31:M34" si="9">$F$11-$E$11*K19</f>
        <v>800</v>
      </c>
    </row>
    <row r="32" spans="2:13" ht="15.6" x14ac:dyDescent="0.3">
      <c r="B32" s="4">
        <f t="shared" si="0"/>
        <v>1.8000000000000005</v>
      </c>
      <c r="C32" s="5">
        <f t="shared" si="1"/>
        <v>3400.0000000000009</v>
      </c>
      <c r="D32" s="5">
        <f t="shared" si="2"/>
        <v>83160000000.000046</v>
      </c>
      <c r="K32" s="4">
        <f t="shared" si="8"/>
        <v>2.6</v>
      </c>
      <c r="L32" s="5">
        <f t="shared" si="3"/>
        <v>78</v>
      </c>
      <c r="M32" s="5">
        <f t="shared" si="9"/>
        <v>199.99999999999977</v>
      </c>
    </row>
    <row r="33" spans="2:13" ht="15.6" x14ac:dyDescent="0.3">
      <c r="B33" s="4">
        <f t="shared" si="0"/>
        <v>1.9000000000000006</v>
      </c>
      <c r="C33" s="5">
        <f t="shared" si="1"/>
        <v>3600.0000000000009</v>
      </c>
      <c r="D33" s="5">
        <f t="shared" si="2"/>
        <v>95760000000.000061</v>
      </c>
      <c r="K33" s="4">
        <f t="shared" si="8"/>
        <v>2.8000000000000003</v>
      </c>
      <c r="L33" s="5">
        <f t="shared" si="3"/>
        <v>84.000000000000014</v>
      </c>
      <c r="M33" s="5">
        <f>$F$11-$E$11*K21</f>
        <v>-400</v>
      </c>
    </row>
    <row r="34" spans="2:13" ht="15.6" x14ac:dyDescent="0.3">
      <c r="K34" s="4">
        <f>K33+0.2</f>
        <v>3.0000000000000004</v>
      </c>
      <c r="L34" s="5">
        <f t="shared" si="3"/>
        <v>90.000000000000014</v>
      </c>
      <c r="M34" s="5">
        <f t="shared" si="9"/>
        <v>-1000</v>
      </c>
    </row>
    <row r="35" spans="2:13" ht="15.6" x14ac:dyDescent="0.3">
      <c r="K35" s="4">
        <f>K34</f>
        <v>3.0000000000000004</v>
      </c>
      <c r="L35" s="5">
        <f t="shared" si="3"/>
        <v>90.000000000000014</v>
      </c>
      <c r="M35" s="5">
        <f>M29</f>
        <v>2000</v>
      </c>
    </row>
    <row r="36" spans="2:13" ht="15.6" x14ac:dyDescent="0.3">
      <c r="K36" s="4">
        <f>K35+0.2</f>
        <v>3.2000000000000006</v>
      </c>
      <c r="L36" s="5">
        <f t="shared" si="3"/>
        <v>96.000000000000014</v>
      </c>
      <c r="M36" s="5">
        <f>$F$11-$E$11*K18</f>
        <v>1400</v>
      </c>
    </row>
    <row r="37" spans="2:13" ht="15.6" x14ac:dyDescent="0.3">
      <c r="K37" s="4">
        <f t="shared" ref="K37:K40" si="10">K36+0.2</f>
        <v>3.4000000000000008</v>
      </c>
      <c r="L37" s="5">
        <f t="shared" si="3"/>
        <v>102.00000000000003</v>
      </c>
      <c r="M37" s="5">
        <f t="shared" ref="M37:M40" si="11">$F$11-$E$11*K19</f>
        <v>800</v>
      </c>
    </row>
    <row r="38" spans="2:13" ht="15.6" x14ac:dyDescent="0.3">
      <c r="K38" s="4">
        <f t="shared" si="10"/>
        <v>3.600000000000001</v>
      </c>
      <c r="L38" s="5">
        <f t="shared" si="3"/>
        <v>108.00000000000003</v>
      </c>
      <c r="M38" s="5">
        <f t="shared" si="11"/>
        <v>199.99999999999977</v>
      </c>
    </row>
    <row r="39" spans="2:13" ht="15.6" x14ac:dyDescent="0.3">
      <c r="K39" s="4">
        <f t="shared" si="10"/>
        <v>3.8000000000000012</v>
      </c>
      <c r="L39" s="5">
        <f t="shared" si="3"/>
        <v>114.00000000000003</v>
      </c>
      <c r="M39" s="5">
        <f t="shared" si="11"/>
        <v>-400</v>
      </c>
    </row>
    <row r="40" spans="2:13" ht="15.6" x14ac:dyDescent="0.3">
      <c r="K40" s="4">
        <f t="shared" si="10"/>
        <v>4.0000000000000009</v>
      </c>
      <c r="L40" s="5">
        <f t="shared" si="3"/>
        <v>120.00000000000003</v>
      </c>
      <c r="M40" s="5">
        <f t="shared" si="11"/>
        <v>-1000</v>
      </c>
    </row>
  </sheetData>
  <mergeCells count="7">
    <mergeCell ref="C14:D14"/>
    <mergeCell ref="L14:M14"/>
    <mergeCell ref="B1:Q1"/>
    <mergeCell ref="F5:I5"/>
    <mergeCell ref="E9:J9"/>
    <mergeCell ref="G10:H10"/>
    <mergeCell ref="G11:H1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10</xdr:col>
                <xdr:colOff>198120</xdr:colOff>
                <xdr:row>7</xdr:row>
                <xdr:rowOff>53340</xdr:rowOff>
              </from>
              <to>
                <xdr:col>12</xdr:col>
                <xdr:colOff>830580</xdr:colOff>
                <xdr:row>11</xdr:row>
                <xdr:rowOff>60960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0</xdr:col>
                <xdr:colOff>929640</xdr:colOff>
                <xdr:row>7</xdr:row>
                <xdr:rowOff>121920</xdr:rowOff>
              </from>
              <to>
                <xdr:col>3</xdr:col>
                <xdr:colOff>800100</xdr:colOff>
                <xdr:row>11</xdr:row>
                <xdr:rowOff>144780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T40"/>
  <sheetViews>
    <sheetView zoomScale="62" zoomScaleNormal="62" workbookViewId="0">
      <selection activeCell="Q21" sqref="Q21"/>
    </sheetView>
  </sheetViews>
  <sheetFormatPr defaultColWidth="9.109375" defaultRowHeight="14.4" x14ac:dyDescent="0.3"/>
  <cols>
    <col min="1" max="1" width="9.109375" style="1"/>
    <col min="2" max="2" width="12.6640625" style="1" customWidth="1"/>
    <col min="3" max="3" width="17.5546875" style="1" customWidth="1"/>
    <col min="4" max="4" width="17.88671875" style="1" customWidth="1"/>
    <col min="5" max="10" width="9.109375" style="1"/>
    <col min="11" max="11" width="13.5546875" style="1" customWidth="1"/>
    <col min="12" max="12" width="12.6640625" style="1" customWidth="1"/>
    <col min="13" max="13" width="16.21875" style="1" customWidth="1"/>
    <col min="14" max="16384" width="9.109375" style="1"/>
  </cols>
  <sheetData>
    <row r="1" spans="1:20" ht="21" x14ac:dyDescent="0.4">
      <c r="B1" s="12" t="s">
        <v>17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3" spans="1:20" ht="8.2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5" spans="1:20" ht="15.6" x14ac:dyDescent="0.3">
      <c r="F5" s="13" t="s">
        <v>0</v>
      </c>
      <c r="G5" s="10"/>
      <c r="H5" s="10"/>
      <c r="I5" s="11"/>
    </row>
    <row r="6" spans="1:20" ht="15.6" x14ac:dyDescent="0.3">
      <c r="F6" s="6" t="s">
        <v>1</v>
      </c>
      <c r="G6" s="6" t="s">
        <v>2</v>
      </c>
      <c r="H6" s="6" t="s">
        <v>3</v>
      </c>
      <c r="I6" s="6" t="s">
        <v>4</v>
      </c>
    </row>
    <row r="7" spans="1:20" ht="15.6" x14ac:dyDescent="0.3">
      <c r="F7" s="4">
        <v>100</v>
      </c>
      <c r="G7" s="4">
        <v>30</v>
      </c>
      <c r="H7" s="4">
        <v>140</v>
      </c>
      <c r="I7" s="4">
        <v>1400</v>
      </c>
    </row>
    <row r="9" spans="1:20" ht="15.6" x14ac:dyDescent="0.3">
      <c r="E9" s="13" t="s">
        <v>5</v>
      </c>
      <c r="F9" s="10"/>
      <c r="G9" s="10"/>
      <c r="H9" s="10"/>
      <c r="I9" s="10"/>
      <c r="J9" s="11"/>
    </row>
    <row r="10" spans="1:20" ht="15.6" x14ac:dyDescent="0.3">
      <c r="E10" s="6" t="s">
        <v>6</v>
      </c>
      <c r="F10" s="6" t="s">
        <v>7</v>
      </c>
      <c r="G10" s="13" t="s">
        <v>8</v>
      </c>
      <c r="H10" s="11"/>
      <c r="I10" s="6" t="s">
        <v>9</v>
      </c>
      <c r="J10" s="6" t="s">
        <v>10</v>
      </c>
    </row>
    <row r="11" spans="1:20" ht="15.6" x14ac:dyDescent="0.3">
      <c r="E11" s="4">
        <f>F7*G7</f>
        <v>3000</v>
      </c>
      <c r="F11" s="4">
        <f>I7*E11/(H7+I7)</f>
        <v>2727.2727272727275</v>
      </c>
      <c r="G11" s="14">
        <f>$H$7*(F11^2)/2*$F$7+$I$7*(($E$11-F11)^2)/2*$F$7</f>
        <v>57272727272.727272</v>
      </c>
      <c r="H11" s="15"/>
      <c r="I11" s="4">
        <f>E11-F11/$F$7</f>
        <v>2972.7272727272725</v>
      </c>
      <c r="J11" s="4">
        <f>F11/$F$7</f>
        <v>27.272727272727273</v>
      </c>
    </row>
    <row r="14" spans="1:20" ht="15.6" x14ac:dyDescent="0.3">
      <c r="B14" s="6" t="s">
        <v>12</v>
      </c>
      <c r="C14" s="8" t="s">
        <v>11</v>
      </c>
      <c r="D14" s="9"/>
      <c r="K14" s="16" t="s">
        <v>12</v>
      </c>
      <c r="L14" s="10" t="s">
        <v>15</v>
      </c>
      <c r="M14" s="11"/>
    </row>
    <row r="15" spans="1:20" ht="15.6" x14ac:dyDescent="0.3">
      <c r="B15" s="6">
        <v>0.1</v>
      </c>
      <c r="C15" s="6" t="s">
        <v>13</v>
      </c>
      <c r="D15" s="6" t="s">
        <v>14</v>
      </c>
      <c r="K15" s="16"/>
      <c r="L15" s="6" t="s">
        <v>9</v>
      </c>
      <c r="M15" s="6" t="s">
        <v>16</v>
      </c>
    </row>
    <row r="16" spans="1:20" ht="15.6" x14ac:dyDescent="0.3">
      <c r="B16" s="4">
        <f>B15+0.1</f>
        <v>0.2</v>
      </c>
      <c r="C16" s="5">
        <f>$F$11*B15</f>
        <v>272.72727272727275</v>
      </c>
      <c r="D16" s="5">
        <f>$H$7*C16^2/2*$F$7+$I$7*(($E$11-C16)^2)/2*$F$7</f>
        <v>521181818181.81799</v>
      </c>
      <c r="K16" s="7" t="s">
        <v>12</v>
      </c>
      <c r="L16" s="5">
        <v>0</v>
      </c>
      <c r="M16" s="5">
        <v>0</v>
      </c>
    </row>
    <row r="17" spans="2:13" ht="15.6" x14ac:dyDescent="0.3">
      <c r="B17" s="4">
        <f t="shared" ref="B17:B33" si="0">B16+0.1</f>
        <v>0.30000000000000004</v>
      </c>
      <c r="C17" s="5">
        <f t="shared" ref="C17:C33" si="1">$F$11*B16</f>
        <v>545.4545454545455</v>
      </c>
      <c r="D17" s="5">
        <f t="shared" ref="D17:D33" si="2">$H$7*C17^2/2*$F$7+$I$7*(($E$11-C17)^2)/2*$F$7</f>
        <v>423818181818.18176</v>
      </c>
      <c r="K17" s="4">
        <v>0</v>
      </c>
      <c r="L17" s="5">
        <f>$G$7*K17</f>
        <v>0</v>
      </c>
      <c r="M17" s="5">
        <f>F11</f>
        <v>2727.2727272727275</v>
      </c>
    </row>
    <row r="18" spans="2:13" ht="15.6" x14ac:dyDescent="0.3">
      <c r="B18" s="4">
        <f t="shared" si="0"/>
        <v>0.4</v>
      </c>
      <c r="C18" s="5">
        <f t="shared" si="1"/>
        <v>818.18181818181836</v>
      </c>
      <c r="D18" s="5">
        <f t="shared" si="2"/>
        <v>337909090909.09082</v>
      </c>
      <c r="K18" s="4">
        <f>K17+0.2</f>
        <v>0.2</v>
      </c>
      <c r="L18" s="5">
        <f t="shared" ref="L18:L40" si="3">$G$7*K18</f>
        <v>6</v>
      </c>
      <c r="M18" s="5">
        <f>$F$11-$E$11*K18</f>
        <v>2127.2727272727275</v>
      </c>
    </row>
    <row r="19" spans="2:13" ht="15.6" x14ac:dyDescent="0.3">
      <c r="B19" s="4">
        <f t="shared" si="0"/>
        <v>0.5</v>
      </c>
      <c r="C19" s="5">
        <f t="shared" si="1"/>
        <v>1090.909090909091</v>
      </c>
      <c r="D19" s="5">
        <f t="shared" si="2"/>
        <v>263454545454.54544</v>
      </c>
      <c r="K19" s="4">
        <f t="shared" ref="K19:K21" si="4">K18+0.2</f>
        <v>0.4</v>
      </c>
      <c r="L19" s="5">
        <f t="shared" si="3"/>
        <v>12</v>
      </c>
      <c r="M19" s="5">
        <f t="shared" ref="M19:M22" si="5">$F$11-$E$11*K19</f>
        <v>1527.2727272727275</v>
      </c>
    </row>
    <row r="20" spans="2:13" ht="15.6" x14ac:dyDescent="0.3">
      <c r="B20" s="4">
        <f t="shared" si="0"/>
        <v>0.6</v>
      </c>
      <c r="C20" s="5">
        <f t="shared" si="1"/>
        <v>1363.6363636363637</v>
      </c>
      <c r="D20" s="5">
        <f t="shared" si="2"/>
        <v>200454545454.54544</v>
      </c>
      <c r="K20" s="4">
        <f t="shared" si="4"/>
        <v>0.60000000000000009</v>
      </c>
      <c r="L20" s="5">
        <f t="shared" si="3"/>
        <v>18.000000000000004</v>
      </c>
      <c r="M20" s="5">
        <f t="shared" si="5"/>
        <v>927.27272727272725</v>
      </c>
    </row>
    <row r="21" spans="2:13" ht="15.6" x14ac:dyDescent="0.3">
      <c r="B21" s="4">
        <f t="shared" si="0"/>
        <v>0.7</v>
      </c>
      <c r="C21" s="5">
        <f t="shared" si="1"/>
        <v>1636.3636363636365</v>
      </c>
      <c r="D21" s="5">
        <f t="shared" si="2"/>
        <v>148909090909.09088</v>
      </c>
      <c r="K21" s="4">
        <f t="shared" si="4"/>
        <v>0.8</v>
      </c>
      <c r="L21" s="5">
        <f t="shared" si="3"/>
        <v>24</v>
      </c>
      <c r="M21" s="5">
        <f t="shared" si="5"/>
        <v>327.27272727272748</v>
      </c>
    </row>
    <row r="22" spans="2:13" ht="15.6" x14ac:dyDescent="0.3">
      <c r="B22" s="4">
        <f t="shared" si="0"/>
        <v>0.79999999999999993</v>
      </c>
      <c r="C22" s="5">
        <f t="shared" si="1"/>
        <v>1909.090909090909</v>
      </c>
      <c r="D22" s="5">
        <f t="shared" si="2"/>
        <v>108818181818.18182</v>
      </c>
      <c r="K22" s="4">
        <f>K21+0.2</f>
        <v>1</v>
      </c>
      <c r="L22" s="5">
        <f t="shared" si="3"/>
        <v>30</v>
      </c>
      <c r="M22" s="5">
        <f t="shared" si="5"/>
        <v>-272.72727272727252</v>
      </c>
    </row>
    <row r="23" spans="2:13" ht="15.6" x14ac:dyDescent="0.3">
      <c r="B23" s="4">
        <f t="shared" si="0"/>
        <v>0.89999999999999991</v>
      </c>
      <c r="C23" s="5">
        <f t="shared" si="1"/>
        <v>2181.818181818182</v>
      </c>
      <c r="D23" s="5">
        <f t="shared" si="2"/>
        <v>80181818181.818176</v>
      </c>
      <c r="K23" s="4">
        <f>K22</f>
        <v>1</v>
      </c>
      <c r="L23" s="5">
        <f t="shared" si="3"/>
        <v>30</v>
      </c>
      <c r="M23" s="5">
        <f>M17</f>
        <v>2727.2727272727275</v>
      </c>
    </row>
    <row r="24" spans="2:13" ht="15.6" x14ac:dyDescent="0.3">
      <c r="B24" s="4">
        <f t="shared" si="0"/>
        <v>0.99999999999999989</v>
      </c>
      <c r="C24" s="5">
        <f t="shared" si="1"/>
        <v>2454.5454545454545</v>
      </c>
      <c r="D24" s="5">
        <f t="shared" si="2"/>
        <v>63000000000</v>
      </c>
      <c r="K24" s="4">
        <f>K23+0.2</f>
        <v>1.2</v>
      </c>
      <c r="L24" s="5">
        <f t="shared" si="3"/>
        <v>36</v>
      </c>
      <c r="M24" s="5">
        <f>$F$11-$E$11*K18</f>
        <v>2127.2727272727275</v>
      </c>
    </row>
    <row r="25" spans="2:13" ht="15.6" x14ac:dyDescent="0.3">
      <c r="B25" s="4">
        <f t="shared" si="0"/>
        <v>1.0999999999999999</v>
      </c>
      <c r="C25" s="5">
        <f t="shared" si="1"/>
        <v>2727.272727272727</v>
      </c>
      <c r="D25" s="5">
        <f t="shared" si="2"/>
        <v>57272727272.727264</v>
      </c>
      <c r="K25" s="4">
        <f t="shared" ref="K25:K28" si="6">K24+0.2</f>
        <v>1.4</v>
      </c>
      <c r="L25" s="5">
        <f t="shared" si="3"/>
        <v>42</v>
      </c>
      <c r="M25" s="5">
        <f t="shared" ref="M25:M27" si="7">$F$11-$E$11*K19</f>
        <v>1527.2727272727275</v>
      </c>
    </row>
    <row r="26" spans="2:13" ht="15.6" x14ac:dyDescent="0.3">
      <c r="B26" s="4">
        <f t="shared" si="0"/>
        <v>1.2</v>
      </c>
      <c r="C26" s="5">
        <f t="shared" si="1"/>
        <v>3000</v>
      </c>
      <c r="D26" s="5">
        <f t="shared" si="2"/>
        <v>63000000000</v>
      </c>
      <c r="K26" s="4">
        <f t="shared" si="6"/>
        <v>1.5999999999999999</v>
      </c>
      <c r="L26" s="5">
        <f t="shared" si="3"/>
        <v>47.999999999999993</v>
      </c>
      <c r="M26" s="5">
        <f t="shared" si="7"/>
        <v>927.27272727272725</v>
      </c>
    </row>
    <row r="27" spans="2:13" ht="15.6" x14ac:dyDescent="0.3">
      <c r="B27" s="4">
        <f t="shared" si="0"/>
        <v>1.3</v>
      </c>
      <c r="C27" s="5">
        <f t="shared" si="1"/>
        <v>3272.727272727273</v>
      </c>
      <c r="D27" s="5">
        <f t="shared" si="2"/>
        <v>80181818181.818192</v>
      </c>
      <c r="K27" s="4">
        <f t="shared" si="6"/>
        <v>1.7999999999999998</v>
      </c>
      <c r="L27" s="5">
        <f t="shared" si="3"/>
        <v>53.999999999999993</v>
      </c>
      <c r="M27" s="5">
        <f t="shared" si="7"/>
        <v>327.27272727272748</v>
      </c>
    </row>
    <row r="28" spans="2:13" ht="15.6" x14ac:dyDescent="0.3">
      <c r="B28" s="4">
        <f t="shared" si="0"/>
        <v>1.4000000000000001</v>
      </c>
      <c r="C28" s="5">
        <f t="shared" si="1"/>
        <v>3545.454545454546</v>
      </c>
      <c r="D28" s="5">
        <f t="shared" si="2"/>
        <v>108818181818.18188</v>
      </c>
      <c r="K28" s="4">
        <f t="shared" si="6"/>
        <v>1.9999999999999998</v>
      </c>
      <c r="L28" s="5">
        <f t="shared" si="3"/>
        <v>59.999999999999993</v>
      </c>
      <c r="M28" s="5">
        <f>$F$11-$E$11*K22</f>
        <v>-272.72727272727252</v>
      </c>
    </row>
    <row r="29" spans="2:13" ht="15.6" x14ac:dyDescent="0.3">
      <c r="B29" s="4">
        <f t="shared" si="0"/>
        <v>1.5000000000000002</v>
      </c>
      <c r="C29" s="5">
        <f t="shared" si="1"/>
        <v>3818.1818181818189</v>
      </c>
      <c r="D29" s="5">
        <f t="shared" si="2"/>
        <v>148909090909.09103</v>
      </c>
      <c r="K29" s="4">
        <f>K28</f>
        <v>1.9999999999999998</v>
      </c>
      <c r="L29" s="5">
        <f t="shared" si="3"/>
        <v>59.999999999999993</v>
      </c>
      <c r="M29" s="5">
        <f>M17</f>
        <v>2727.2727272727275</v>
      </c>
    </row>
    <row r="30" spans="2:13" ht="15.6" x14ac:dyDescent="0.3">
      <c r="B30" s="4">
        <f t="shared" si="0"/>
        <v>1.6000000000000003</v>
      </c>
      <c r="C30" s="5">
        <f t="shared" si="1"/>
        <v>4090.9090909090919</v>
      </c>
      <c r="D30" s="5">
        <f t="shared" si="2"/>
        <v>200454545454.54565</v>
      </c>
      <c r="K30" s="4">
        <f>K29+0.2</f>
        <v>2.1999999999999997</v>
      </c>
      <c r="L30" s="5">
        <f t="shared" si="3"/>
        <v>65.999999999999986</v>
      </c>
      <c r="M30" s="5">
        <f>$F$11-$E$11*K18</f>
        <v>2127.2727272727275</v>
      </c>
    </row>
    <row r="31" spans="2:13" ht="15.6" x14ac:dyDescent="0.3">
      <c r="B31" s="4">
        <f t="shared" si="0"/>
        <v>1.7000000000000004</v>
      </c>
      <c r="C31" s="5">
        <f t="shared" si="1"/>
        <v>4363.6363636363649</v>
      </c>
      <c r="D31" s="5">
        <f t="shared" si="2"/>
        <v>263454545454.54578</v>
      </c>
      <c r="K31" s="4">
        <f t="shared" ref="K31:K33" si="8">K30+0.2</f>
        <v>2.4</v>
      </c>
      <c r="L31" s="5">
        <f t="shared" si="3"/>
        <v>72</v>
      </c>
      <c r="M31" s="5">
        <f t="shared" ref="M31:M34" si="9">$F$11-$E$11*K19</f>
        <v>1527.2727272727275</v>
      </c>
    </row>
    <row r="32" spans="2:13" ht="15.6" x14ac:dyDescent="0.3">
      <c r="B32" s="4">
        <f t="shared" si="0"/>
        <v>1.8000000000000005</v>
      </c>
      <c r="C32" s="5">
        <f t="shared" si="1"/>
        <v>4636.3636363636379</v>
      </c>
      <c r="D32" s="5">
        <f t="shared" si="2"/>
        <v>337909090909.09131</v>
      </c>
      <c r="K32" s="4">
        <f t="shared" si="8"/>
        <v>2.6</v>
      </c>
      <c r="L32" s="5">
        <f t="shared" si="3"/>
        <v>78</v>
      </c>
      <c r="M32" s="5">
        <f t="shared" si="9"/>
        <v>927.27272727272725</v>
      </c>
    </row>
    <row r="33" spans="2:13" ht="15.6" x14ac:dyDescent="0.3">
      <c r="B33" s="4">
        <f t="shared" si="0"/>
        <v>1.9000000000000006</v>
      </c>
      <c r="C33" s="5">
        <f t="shared" si="1"/>
        <v>4909.0909090909108</v>
      </c>
      <c r="D33" s="5">
        <f t="shared" si="2"/>
        <v>423818181818.18237</v>
      </c>
      <c r="K33" s="4">
        <f t="shared" si="8"/>
        <v>2.8000000000000003</v>
      </c>
      <c r="L33" s="5">
        <f t="shared" si="3"/>
        <v>84.000000000000014</v>
      </c>
      <c r="M33" s="5">
        <f>$F$11-$E$11*K21</f>
        <v>327.27272727272748</v>
      </c>
    </row>
    <row r="34" spans="2:13" ht="15.6" x14ac:dyDescent="0.3">
      <c r="K34" s="4">
        <f>K33+0.2</f>
        <v>3.0000000000000004</v>
      </c>
      <c r="L34" s="5">
        <f t="shared" si="3"/>
        <v>90.000000000000014</v>
      </c>
      <c r="M34" s="5">
        <f t="shared" si="9"/>
        <v>-272.72727272727252</v>
      </c>
    </row>
    <row r="35" spans="2:13" ht="15.6" x14ac:dyDescent="0.3">
      <c r="K35" s="4">
        <f>K34</f>
        <v>3.0000000000000004</v>
      </c>
      <c r="L35" s="5">
        <f t="shared" si="3"/>
        <v>90.000000000000014</v>
      </c>
      <c r="M35" s="5">
        <f>M29</f>
        <v>2727.2727272727275</v>
      </c>
    </row>
    <row r="36" spans="2:13" ht="15.6" x14ac:dyDescent="0.3">
      <c r="K36" s="4">
        <f>K35+0.2</f>
        <v>3.2000000000000006</v>
      </c>
      <c r="L36" s="5">
        <f t="shared" si="3"/>
        <v>96.000000000000014</v>
      </c>
      <c r="M36" s="5">
        <f>$F$11-$E$11*K18</f>
        <v>2127.2727272727275</v>
      </c>
    </row>
    <row r="37" spans="2:13" ht="15.6" x14ac:dyDescent="0.3">
      <c r="K37" s="4">
        <f t="shared" ref="K37:K40" si="10">K36+0.2</f>
        <v>3.4000000000000008</v>
      </c>
      <c r="L37" s="5">
        <f t="shared" si="3"/>
        <v>102.00000000000003</v>
      </c>
      <c r="M37" s="5">
        <f t="shared" ref="M37:M40" si="11">$F$11-$E$11*K19</f>
        <v>1527.2727272727275</v>
      </c>
    </row>
    <row r="38" spans="2:13" ht="15.6" x14ac:dyDescent="0.3">
      <c r="K38" s="4">
        <f t="shared" si="10"/>
        <v>3.600000000000001</v>
      </c>
      <c r="L38" s="5">
        <f t="shared" si="3"/>
        <v>108.00000000000003</v>
      </c>
      <c r="M38" s="5">
        <f t="shared" si="11"/>
        <v>927.27272727272725</v>
      </c>
    </row>
    <row r="39" spans="2:13" ht="15.6" x14ac:dyDescent="0.3">
      <c r="K39" s="4">
        <f t="shared" si="10"/>
        <v>3.8000000000000012</v>
      </c>
      <c r="L39" s="5">
        <f t="shared" si="3"/>
        <v>114.00000000000003</v>
      </c>
      <c r="M39" s="5">
        <f t="shared" si="11"/>
        <v>327.27272727272748</v>
      </c>
    </row>
    <row r="40" spans="2:13" ht="15.6" x14ac:dyDescent="0.3">
      <c r="K40" s="4">
        <f t="shared" si="10"/>
        <v>4.0000000000000009</v>
      </c>
      <c r="L40" s="5">
        <f t="shared" si="3"/>
        <v>120.00000000000003</v>
      </c>
      <c r="M40" s="5">
        <f t="shared" si="11"/>
        <v>-272.72727272727252</v>
      </c>
    </row>
  </sheetData>
  <mergeCells count="7">
    <mergeCell ref="C14:D14"/>
    <mergeCell ref="L14:M14"/>
    <mergeCell ref="B1:Q1"/>
    <mergeCell ref="F5:I5"/>
    <mergeCell ref="E9:J9"/>
    <mergeCell ref="G10:H10"/>
    <mergeCell ref="G11:H1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10</xdr:col>
                <xdr:colOff>655320</xdr:colOff>
                <xdr:row>7</xdr:row>
                <xdr:rowOff>99060</xdr:rowOff>
              </from>
              <to>
                <xdr:col>12</xdr:col>
                <xdr:colOff>1059180</xdr:colOff>
                <xdr:row>11</xdr:row>
                <xdr:rowOff>106680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autoPict="0" r:id="rId7">
            <anchor moveWithCells="1">
              <from>
                <xdr:col>0</xdr:col>
                <xdr:colOff>601980</xdr:colOff>
                <xdr:row>7</xdr:row>
                <xdr:rowOff>175260</xdr:rowOff>
              </from>
              <to>
                <xdr:col>3</xdr:col>
                <xdr:colOff>914400</xdr:colOff>
                <xdr:row>12</xdr:row>
                <xdr:rowOff>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T40"/>
  <sheetViews>
    <sheetView zoomScale="60" zoomScaleNormal="60" workbookViewId="0">
      <selection activeCell="AF22" sqref="AF22"/>
    </sheetView>
  </sheetViews>
  <sheetFormatPr defaultColWidth="9.109375" defaultRowHeight="14.4" x14ac:dyDescent="0.3"/>
  <cols>
    <col min="1" max="1" width="9.109375" style="1"/>
    <col min="2" max="2" width="11.5546875" style="1" customWidth="1"/>
    <col min="3" max="3" width="19.109375" style="1" customWidth="1"/>
    <col min="4" max="4" width="16.21875" style="1" customWidth="1"/>
    <col min="5" max="10" width="9.109375" style="1"/>
    <col min="11" max="11" width="12.21875" style="1" customWidth="1"/>
    <col min="12" max="12" width="11" style="1" customWidth="1"/>
    <col min="13" max="13" width="13.33203125" style="1" customWidth="1"/>
    <col min="14" max="16384" width="9.109375" style="1"/>
  </cols>
  <sheetData>
    <row r="1" spans="1:20" ht="21" x14ac:dyDescent="0.4">
      <c r="B1" s="12" t="s">
        <v>17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3" spans="1:20" ht="9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5" spans="1:20" ht="15.6" x14ac:dyDescent="0.3">
      <c r="F5" s="13" t="s">
        <v>0</v>
      </c>
      <c r="G5" s="10"/>
      <c r="H5" s="10"/>
      <c r="I5" s="11"/>
    </row>
    <row r="6" spans="1:20" ht="15.6" x14ac:dyDescent="0.3">
      <c r="F6" s="6" t="s">
        <v>1</v>
      </c>
      <c r="G6" s="6" t="s">
        <v>2</v>
      </c>
      <c r="H6" s="6" t="s">
        <v>3</v>
      </c>
      <c r="I6" s="6" t="s">
        <v>4</v>
      </c>
    </row>
    <row r="7" spans="1:20" ht="15.6" x14ac:dyDescent="0.3">
      <c r="F7" s="4">
        <v>100</v>
      </c>
      <c r="G7" s="4">
        <v>30</v>
      </c>
      <c r="H7" s="4">
        <v>140</v>
      </c>
      <c r="I7" s="4">
        <v>140</v>
      </c>
    </row>
    <row r="9" spans="1:20" ht="15.6" x14ac:dyDescent="0.3">
      <c r="E9" s="13" t="s">
        <v>5</v>
      </c>
      <c r="F9" s="10"/>
      <c r="G9" s="10"/>
      <c r="H9" s="10"/>
      <c r="I9" s="10"/>
      <c r="J9" s="11"/>
    </row>
    <row r="10" spans="1:20" ht="15.6" x14ac:dyDescent="0.3">
      <c r="E10" s="6" t="s">
        <v>6</v>
      </c>
      <c r="F10" s="6" t="s">
        <v>7</v>
      </c>
      <c r="G10" s="13" t="s">
        <v>8</v>
      </c>
      <c r="H10" s="11"/>
      <c r="I10" s="6" t="s">
        <v>9</v>
      </c>
      <c r="J10" s="6" t="s">
        <v>10</v>
      </c>
    </row>
    <row r="11" spans="1:20" ht="15.6" x14ac:dyDescent="0.3">
      <c r="E11" s="4">
        <f>F7*G7</f>
        <v>3000</v>
      </c>
      <c r="F11" s="4">
        <f>I7*E11/(H7+I7)</f>
        <v>1500</v>
      </c>
      <c r="G11" s="14">
        <f>$H$7*(F11^2)/2*$F$7+$I$7*(($E$11-F11)^2)/2*$F$7</f>
        <v>31500000000</v>
      </c>
      <c r="H11" s="15"/>
      <c r="I11" s="4">
        <f>E11-F11/$F$7</f>
        <v>2985</v>
      </c>
      <c r="J11" s="4">
        <f>F11/$F$7</f>
        <v>15</v>
      </c>
    </row>
    <row r="14" spans="1:20" ht="15.6" x14ac:dyDescent="0.3">
      <c r="B14" s="6" t="s">
        <v>12</v>
      </c>
      <c r="C14" s="8" t="s">
        <v>11</v>
      </c>
      <c r="D14" s="9"/>
      <c r="K14" s="16"/>
      <c r="L14" s="10" t="s">
        <v>15</v>
      </c>
      <c r="M14" s="11"/>
      <c r="N14" s="17"/>
    </row>
    <row r="15" spans="1:20" ht="15.6" x14ac:dyDescent="0.3">
      <c r="B15" s="6">
        <v>0.1</v>
      </c>
      <c r="C15" s="6" t="s">
        <v>13</v>
      </c>
      <c r="D15" s="6" t="s">
        <v>14</v>
      </c>
      <c r="K15" s="16"/>
      <c r="L15" s="6" t="s">
        <v>9</v>
      </c>
      <c r="M15" s="6" t="s">
        <v>16</v>
      </c>
      <c r="N15" s="17"/>
    </row>
    <row r="16" spans="1:20" ht="15.6" x14ac:dyDescent="0.3">
      <c r="B16" s="4">
        <f>B15+0.1</f>
        <v>0.2</v>
      </c>
      <c r="C16" s="5">
        <f>$F$11*B15</f>
        <v>150</v>
      </c>
      <c r="D16" s="5">
        <f>$H$7*C16^2/2*$F$7+$I$7*(($E$11-C16)^2)/2*$F$7</f>
        <v>57015000000</v>
      </c>
      <c r="K16" s="7" t="s">
        <v>12</v>
      </c>
      <c r="L16" s="5">
        <v>0</v>
      </c>
      <c r="M16" s="5">
        <v>0</v>
      </c>
      <c r="N16" s="17"/>
    </row>
    <row r="17" spans="2:14" ht="15.6" x14ac:dyDescent="0.3">
      <c r="B17" s="4">
        <f t="shared" ref="B17:B33" si="0">B16+0.1</f>
        <v>0.30000000000000004</v>
      </c>
      <c r="C17" s="5">
        <f t="shared" ref="C17:C33" si="1">$F$11*B16</f>
        <v>300</v>
      </c>
      <c r="D17" s="5">
        <f t="shared" ref="D17:D33" si="2">$H$7*C17^2/2*$F$7+$I$7*(($E$11-C17)^2)/2*$F$7</f>
        <v>51660000000</v>
      </c>
      <c r="K17" s="4">
        <v>0</v>
      </c>
      <c r="L17" s="5">
        <f>$G$7*K17</f>
        <v>0</v>
      </c>
      <c r="M17" s="5">
        <f>F11</f>
        <v>1500</v>
      </c>
      <c r="N17" s="17"/>
    </row>
    <row r="18" spans="2:14" ht="15.6" x14ac:dyDescent="0.3">
      <c r="B18" s="4">
        <f t="shared" si="0"/>
        <v>0.4</v>
      </c>
      <c r="C18" s="5">
        <f t="shared" si="1"/>
        <v>450.00000000000006</v>
      </c>
      <c r="D18" s="5">
        <f t="shared" si="2"/>
        <v>46935000000</v>
      </c>
      <c r="K18" s="4">
        <f>K17+0.2</f>
        <v>0.2</v>
      </c>
      <c r="L18" s="5">
        <f t="shared" ref="L18:L40" si="3">$G$7*K18</f>
        <v>6</v>
      </c>
      <c r="M18" s="5">
        <f>$F$11-$E$11*K18</f>
        <v>900</v>
      </c>
      <c r="N18" s="17"/>
    </row>
    <row r="19" spans="2:14" ht="15.6" x14ac:dyDescent="0.3">
      <c r="B19" s="4">
        <f t="shared" si="0"/>
        <v>0.5</v>
      </c>
      <c r="C19" s="5">
        <f t="shared" si="1"/>
        <v>600</v>
      </c>
      <c r="D19" s="5">
        <f t="shared" si="2"/>
        <v>42840000000</v>
      </c>
      <c r="K19" s="4">
        <f t="shared" ref="K19:K21" si="4">K18+0.2</f>
        <v>0.4</v>
      </c>
      <c r="L19" s="5">
        <f t="shared" si="3"/>
        <v>12</v>
      </c>
      <c r="M19" s="5">
        <f t="shared" ref="M19:M22" si="5">$F$11-$E$11*K19</f>
        <v>300</v>
      </c>
      <c r="N19" s="17"/>
    </row>
    <row r="20" spans="2:14" ht="15.6" x14ac:dyDescent="0.3">
      <c r="B20" s="4">
        <f t="shared" si="0"/>
        <v>0.6</v>
      </c>
      <c r="C20" s="5">
        <f t="shared" si="1"/>
        <v>750</v>
      </c>
      <c r="D20" s="5">
        <f t="shared" si="2"/>
        <v>39375000000</v>
      </c>
      <c r="K20" s="4">
        <f t="shared" si="4"/>
        <v>0.60000000000000009</v>
      </c>
      <c r="L20" s="5">
        <f t="shared" si="3"/>
        <v>18.000000000000004</v>
      </c>
      <c r="M20" s="5">
        <f t="shared" si="5"/>
        <v>-300.00000000000023</v>
      </c>
      <c r="N20" s="17"/>
    </row>
    <row r="21" spans="2:14" ht="15.6" x14ac:dyDescent="0.3">
      <c r="B21" s="4">
        <f t="shared" si="0"/>
        <v>0.7</v>
      </c>
      <c r="C21" s="5">
        <f t="shared" si="1"/>
        <v>900</v>
      </c>
      <c r="D21" s="5">
        <f t="shared" si="2"/>
        <v>36540000000</v>
      </c>
      <c r="K21" s="4">
        <f t="shared" si="4"/>
        <v>0.8</v>
      </c>
      <c r="L21" s="5">
        <f t="shared" si="3"/>
        <v>24</v>
      </c>
      <c r="M21" s="5">
        <f t="shared" si="5"/>
        <v>-900</v>
      </c>
      <c r="N21" s="17"/>
    </row>
    <row r="22" spans="2:14" ht="15.6" x14ac:dyDescent="0.3">
      <c r="B22" s="4">
        <f t="shared" si="0"/>
        <v>0.79999999999999993</v>
      </c>
      <c r="C22" s="5">
        <f t="shared" si="1"/>
        <v>1050</v>
      </c>
      <c r="D22" s="5">
        <f t="shared" si="2"/>
        <v>34335000000</v>
      </c>
      <c r="K22" s="4">
        <f>K21+0.2</f>
        <v>1</v>
      </c>
      <c r="L22" s="5">
        <f t="shared" si="3"/>
        <v>30</v>
      </c>
      <c r="M22" s="5">
        <f t="shared" si="5"/>
        <v>-1500</v>
      </c>
      <c r="N22" s="17"/>
    </row>
    <row r="23" spans="2:14" ht="15.6" x14ac:dyDescent="0.3">
      <c r="B23" s="4">
        <f t="shared" si="0"/>
        <v>0.89999999999999991</v>
      </c>
      <c r="C23" s="5">
        <f t="shared" si="1"/>
        <v>1200</v>
      </c>
      <c r="D23" s="5">
        <f t="shared" si="2"/>
        <v>32760000000</v>
      </c>
      <c r="K23" s="4">
        <f>K22</f>
        <v>1</v>
      </c>
      <c r="L23" s="5">
        <f t="shared" si="3"/>
        <v>30</v>
      </c>
      <c r="M23" s="5">
        <f>M17</f>
        <v>1500</v>
      </c>
      <c r="N23" s="17"/>
    </row>
    <row r="24" spans="2:14" ht="15.6" x14ac:dyDescent="0.3">
      <c r="B24" s="4">
        <f t="shared" si="0"/>
        <v>0.99999999999999989</v>
      </c>
      <c r="C24" s="5">
        <f t="shared" si="1"/>
        <v>1349.9999999999998</v>
      </c>
      <c r="D24" s="5">
        <f t="shared" si="2"/>
        <v>31815000000.000004</v>
      </c>
      <c r="K24" s="4">
        <f>K23+0.2</f>
        <v>1.2</v>
      </c>
      <c r="L24" s="5">
        <f t="shared" si="3"/>
        <v>36</v>
      </c>
      <c r="M24" s="5">
        <f>$F$11-$E$11*K18</f>
        <v>900</v>
      </c>
      <c r="N24" s="17"/>
    </row>
    <row r="25" spans="2:14" ht="15.6" x14ac:dyDescent="0.3">
      <c r="B25" s="4">
        <f t="shared" si="0"/>
        <v>1.0999999999999999</v>
      </c>
      <c r="C25" s="5">
        <f t="shared" si="1"/>
        <v>1499.9999999999998</v>
      </c>
      <c r="D25" s="5">
        <f t="shared" si="2"/>
        <v>31500000000</v>
      </c>
      <c r="K25" s="4">
        <f t="shared" ref="K25:K28" si="6">K24+0.2</f>
        <v>1.4</v>
      </c>
      <c r="L25" s="5">
        <f t="shared" si="3"/>
        <v>42</v>
      </c>
      <c r="M25" s="5">
        <f t="shared" ref="M25:M27" si="7">$F$11-$E$11*K19</f>
        <v>300</v>
      </c>
      <c r="N25" s="17"/>
    </row>
    <row r="26" spans="2:14" ht="15.6" x14ac:dyDescent="0.3">
      <c r="B26" s="4">
        <f t="shared" si="0"/>
        <v>1.2</v>
      </c>
      <c r="C26" s="5">
        <f t="shared" si="1"/>
        <v>1649.9999999999998</v>
      </c>
      <c r="D26" s="5">
        <f t="shared" si="2"/>
        <v>31814999999.999996</v>
      </c>
      <c r="K26" s="4">
        <f t="shared" si="6"/>
        <v>1.5999999999999999</v>
      </c>
      <c r="L26" s="5">
        <f t="shared" si="3"/>
        <v>47.999999999999993</v>
      </c>
      <c r="M26" s="5">
        <f t="shared" si="7"/>
        <v>-300.00000000000023</v>
      </c>
      <c r="N26" s="17"/>
    </row>
    <row r="27" spans="2:14" ht="15.6" x14ac:dyDescent="0.3">
      <c r="B27" s="4">
        <f t="shared" si="0"/>
        <v>1.3</v>
      </c>
      <c r="C27" s="5">
        <f t="shared" si="1"/>
        <v>1800</v>
      </c>
      <c r="D27" s="5">
        <f t="shared" si="2"/>
        <v>32760000000</v>
      </c>
      <c r="K27" s="4">
        <f t="shared" si="6"/>
        <v>1.7999999999999998</v>
      </c>
      <c r="L27" s="5">
        <f t="shared" si="3"/>
        <v>53.999999999999993</v>
      </c>
      <c r="M27" s="5">
        <f t="shared" si="7"/>
        <v>-900</v>
      </c>
      <c r="N27" s="17"/>
    </row>
    <row r="28" spans="2:14" ht="15.6" x14ac:dyDescent="0.3">
      <c r="B28" s="4">
        <f t="shared" si="0"/>
        <v>1.4000000000000001</v>
      </c>
      <c r="C28" s="5">
        <f t="shared" si="1"/>
        <v>1950</v>
      </c>
      <c r="D28" s="5">
        <f t="shared" si="2"/>
        <v>34335000000</v>
      </c>
      <c r="K28" s="4">
        <f t="shared" si="6"/>
        <v>1.9999999999999998</v>
      </c>
      <c r="L28" s="5">
        <f t="shared" si="3"/>
        <v>59.999999999999993</v>
      </c>
      <c r="M28" s="5">
        <f>$F$11-$E$11*K22</f>
        <v>-1500</v>
      </c>
      <c r="N28" s="17"/>
    </row>
    <row r="29" spans="2:14" ht="15.6" x14ac:dyDescent="0.3">
      <c r="B29" s="4">
        <f t="shared" si="0"/>
        <v>1.5000000000000002</v>
      </c>
      <c r="C29" s="5">
        <f t="shared" si="1"/>
        <v>2100</v>
      </c>
      <c r="D29" s="5">
        <f t="shared" si="2"/>
        <v>36540000000</v>
      </c>
      <c r="K29" s="4">
        <f>K28</f>
        <v>1.9999999999999998</v>
      </c>
      <c r="L29" s="5">
        <f t="shared" si="3"/>
        <v>59.999999999999993</v>
      </c>
      <c r="M29" s="5">
        <f>M17</f>
        <v>1500</v>
      </c>
      <c r="N29" s="17"/>
    </row>
    <row r="30" spans="2:14" ht="15.6" x14ac:dyDescent="0.3">
      <c r="B30" s="4">
        <f t="shared" si="0"/>
        <v>1.6000000000000003</v>
      </c>
      <c r="C30" s="5">
        <f t="shared" si="1"/>
        <v>2250.0000000000005</v>
      </c>
      <c r="D30" s="5">
        <f t="shared" si="2"/>
        <v>39375000000.000008</v>
      </c>
      <c r="K30" s="4">
        <f>K29+0.2</f>
        <v>2.1999999999999997</v>
      </c>
      <c r="L30" s="5">
        <f t="shared" si="3"/>
        <v>65.999999999999986</v>
      </c>
      <c r="M30" s="5">
        <f>$F$11-$E$11*K18</f>
        <v>900</v>
      </c>
      <c r="N30" s="17"/>
    </row>
    <row r="31" spans="2:14" ht="15.6" x14ac:dyDescent="0.3">
      <c r="B31" s="4">
        <f t="shared" si="0"/>
        <v>1.7000000000000004</v>
      </c>
      <c r="C31" s="5">
        <f t="shared" si="1"/>
        <v>2400.0000000000005</v>
      </c>
      <c r="D31" s="5">
        <f t="shared" si="2"/>
        <v>42840000000.000015</v>
      </c>
      <c r="K31" s="4">
        <f t="shared" ref="K31:K33" si="8">K30+0.2</f>
        <v>2.4</v>
      </c>
      <c r="L31" s="5">
        <f t="shared" si="3"/>
        <v>72</v>
      </c>
      <c r="M31" s="5">
        <f t="shared" ref="M31:M34" si="9">$F$11-$E$11*K19</f>
        <v>300</v>
      </c>
      <c r="N31" s="17"/>
    </row>
    <row r="32" spans="2:14" ht="15.6" x14ac:dyDescent="0.3">
      <c r="B32" s="4">
        <f t="shared" si="0"/>
        <v>1.8000000000000005</v>
      </c>
      <c r="C32" s="5">
        <f t="shared" si="1"/>
        <v>2550.0000000000005</v>
      </c>
      <c r="D32" s="5">
        <f t="shared" si="2"/>
        <v>46935000000.000015</v>
      </c>
      <c r="K32" s="4">
        <f t="shared" si="8"/>
        <v>2.6</v>
      </c>
      <c r="L32" s="5">
        <f t="shared" si="3"/>
        <v>78</v>
      </c>
      <c r="M32" s="5">
        <f t="shared" si="9"/>
        <v>-300.00000000000023</v>
      </c>
      <c r="N32" s="17"/>
    </row>
    <row r="33" spans="2:14" ht="15.6" x14ac:dyDescent="0.3">
      <c r="B33" s="4">
        <f t="shared" si="0"/>
        <v>1.9000000000000006</v>
      </c>
      <c r="C33" s="5">
        <f t="shared" si="1"/>
        <v>2700.0000000000009</v>
      </c>
      <c r="D33" s="5">
        <f t="shared" si="2"/>
        <v>51660000000.000023</v>
      </c>
      <c r="K33" s="4">
        <f t="shared" si="8"/>
        <v>2.8000000000000003</v>
      </c>
      <c r="L33" s="5">
        <f t="shared" si="3"/>
        <v>84.000000000000014</v>
      </c>
      <c r="M33" s="5">
        <f>$F$11-$E$11*K21</f>
        <v>-900</v>
      </c>
      <c r="N33" s="17"/>
    </row>
    <row r="34" spans="2:14" ht="15.6" x14ac:dyDescent="0.3">
      <c r="B34" s="17"/>
      <c r="C34" s="17"/>
      <c r="D34" s="17"/>
      <c r="K34" s="4">
        <f>K33+0.2</f>
        <v>3.0000000000000004</v>
      </c>
      <c r="L34" s="5">
        <f t="shared" si="3"/>
        <v>90.000000000000014</v>
      </c>
      <c r="M34" s="5">
        <f t="shared" si="9"/>
        <v>-1500</v>
      </c>
      <c r="N34" s="17"/>
    </row>
    <row r="35" spans="2:14" ht="15.6" x14ac:dyDescent="0.3">
      <c r="K35" s="4">
        <f>K34</f>
        <v>3.0000000000000004</v>
      </c>
      <c r="L35" s="5">
        <f t="shared" si="3"/>
        <v>90.000000000000014</v>
      </c>
      <c r="M35" s="5">
        <f>M29</f>
        <v>1500</v>
      </c>
      <c r="N35" s="17"/>
    </row>
    <row r="36" spans="2:14" ht="15.6" x14ac:dyDescent="0.3">
      <c r="K36" s="4">
        <f>K35+0.2</f>
        <v>3.2000000000000006</v>
      </c>
      <c r="L36" s="5">
        <f t="shared" si="3"/>
        <v>96.000000000000014</v>
      </c>
      <c r="M36" s="5">
        <f>$F$11-$E$11*K18</f>
        <v>900</v>
      </c>
      <c r="N36" s="17"/>
    </row>
    <row r="37" spans="2:14" ht="15.6" x14ac:dyDescent="0.3">
      <c r="K37" s="4">
        <f t="shared" ref="K37:K40" si="10">K36+0.2</f>
        <v>3.4000000000000008</v>
      </c>
      <c r="L37" s="5">
        <f t="shared" si="3"/>
        <v>102.00000000000003</v>
      </c>
      <c r="M37" s="5">
        <f t="shared" ref="M37:M40" si="11">$F$11-$E$11*K19</f>
        <v>300</v>
      </c>
      <c r="N37" s="17"/>
    </row>
    <row r="38" spans="2:14" ht="15.6" x14ac:dyDescent="0.3">
      <c r="K38" s="4">
        <f t="shared" si="10"/>
        <v>3.600000000000001</v>
      </c>
      <c r="L38" s="5">
        <f t="shared" si="3"/>
        <v>108.00000000000003</v>
      </c>
      <c r="M38" s="5">
        <f t="shared" si="11"/>
        <v>-300.00000000000023</v>
      </c>
      <c r="N38" s="17"/>
    </row>
    <row r="39" spans="2:14" ht="15.6" x14ac:dyDescent="0.3">
      <c r="K39" s="4">
        <f t="shared" si="10"/>
        <v>3.8000000000000012</v>
      </c>
      <c r="L39" s="5">
        <f t="shared" si="3"/>
        <v>114.00000000000003</v>
      </c>
      <c r="M39" s="5">
        <f t="shared" si="11"/>
        <v>-900</v>
      </c>
      <c r="N39" s="17"/>
    </row>
    <row r="40" spans="2:14" ht="15.6" x14ac:dyDescent="0.3">
      <c r="K40" s="4">
        <f t="shared" si="10"/>
        <v>4.0000000000000009</v>
      </c>
      <c r="L40" s="5">
        <f t="shared" si="3"/>
        <v>120.00000000000003</v>
      </c>
      <c r="M40" s="5">
        <f t="shared" si="11"/>
        <v>-1500</v>
      </c>
      <c r="N40" s="17"/>
    </row>
  </sheetData>
  <mergeCells count="7">
    <mergeCell ref="C14:D14"/>
    <mergeCell ref="L14:M14"/>
    <mergeCell ref="B1:Q1"/>
    <mergeCell ref="F5:I5"/>
    <mergeCell ref="E9:J9"/>
    <mergeCell ref="G10:H10"/>
    <mergeCell ref="G11:H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10</xdr:col>
                <xdr:colOff>320040</xdr:colOff>
                <xdr:row>7</xdr:row>
                <xdr:rowOff>106680</xdr:rowOff>
              </from>
              <to>
                <xdr:col>13</xdr:col>
                <xdr:colOff>7620</xdr:colOff>
                <xdr:row>11</xdr:row>
                <xdr:rowOff>129540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autoPict="0" r:id="rId6">
            <anchor moveWithCells="1">
              <from>
                <xdr:col>0</xdr:col>
                <xdr:colOff>571500</xdr:colOff>
                <xdr:row>7</xdr:row>
                <xdr:rowOff>91440</xdr:rowOff>
              </from>
              <to>
                <xdr:col>3</xdr:col>
                <xdr:colOff>853440</xdr:colOff>
                <xdr:row>11</xdr:row>
                <xdr:rowOff>114300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Основная задача</vt:lpstr>
      <vt:lpstr>H=5H</vt:lpstr>
      <vt:lpstr>H=h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mron</cp:lastModifiedBy>
  <dcterms:created xsi:type="dcterms:W3CDTF">2016-02-19T12:07:08Z</dcterms:created>
  <dcterms:modified xsi:type="dcterms:W3CDTF">2017-03-31T05:27:54Z</dcterms:modified>
</cp:coreProperties>
</file>